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iterios" sheetId="2" state="visible" r:id="rId2"/>
    <sheet xmlns:r="http://schemas.openxmlformats.org/officeDocument/2006/relationships" name="_IMPORT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81E4B"/>
    </font>
    <font>
      <b val="1"/>
      <color rgb="00FFFFFF"/>
    </font>
    <font>
      <b val="1"/>
    </font>
    <font>
      <b val="1"/>
      <color rgb="00181E4B"/>
      <sz val="12"/>
    </font>
    <font>
      <i val="1"/>
      <color rgb="00181E4B"/>
    </font>
  </fonts>
  <fills count="7">
    <fill>
      <patternFill/>
    </fill>
    <fill>
      <patternFill patternType="gray125"/>
    </fill>
    <fill>
      <patternFill patternType="solid">
        <fgColor rgb="006B5CFF"/>
      </patternFill>
    </fill>
    <fill>
      <patternFill patternType="solid">
        <fgColor rgb="00F5F7FF"/>
      </patternFill>
    </fill>
    <fill>
      <patternFill patternType="solid">
        <fgColor rgb="00181E4B"/>
      </patternFill>
    </fill>
    <fill>
      <patternFill patternType="solid">
        <fgColor rgb="005ACCA4"/>
      </patternFill>
    </fill>
    <fill>
      <patternFill patternType="solid">
        <fgColor rgb="00EAA2FC"/>
      </patternFill>
    </fill>
  </fills>
  <borders count="2">
    <border>
      <left/>
      <right/>
      <top/>
      <bottom/>
      <diagonal/>
    </border>
    <border>
      <left style="thin">
        <color rgb="00D9DDF2"/>
      </left>
      <right style="thin">
        <color rgb="00D9DDF2"/>
      </right>
      <top style="thin">
        <color rgb="00D9DDF2"/>
      </top>
      <bottom style="thin">
        <color rgb="00D9DD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wrapText="1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5ACCA4"/>
        </patternFill>
      </fill>
    </dxf>
    <dxf>
      <fill>
        <patternFill patternType="solid">
          <fgColor rgb="00FE654F"/>
        </patternFill>
      </fill>
    </dxf>
    <dxf>
      <fill>
        <patternFill patternType="solid">
          <fgColor rgb="00E6CA52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ImportadorRubrica" displayName="TablaImportadorRubrica" ref="A7:I207" headerRowCount="1">
  <autoFilter ref="A7:I207"/>
  <tableColumns count="9">
    <tableColumn id="1" name="Area"/>
    <tableColumn id="2" name="Criterio"/>
    <tableColumn id="3" name="Descripcion_Criterio"/>
    <tableColumn id="4" name="Peso_Criterio"/>
    <tableColumn id="5" name="Insatisfactorio"/>
    <tableColumn id="6" name="Necesitas_Mejorar"/>
    <tableColumn id="7" name="Bueno"/>
    <tableColumn id="8" name="Satisfactorio"/>
    <tableColumn id="9" name="Excel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5" customWidth="1" min="3" max="3"/>
  </cols>
  <sheetData>
    <row r="2" ht="28" customHeight="1">
      <c r="B2" s="1" t="inlineStr">
        <is>
          <t>Plantilla para importar rúbrica desde Excel / CSV</t>
        </is>
      </c>
    </row>
    <row r="4">
      <c r="B4" s="2" t="inlineStr">
        <is>
          <t>Llena únicamente la hoja “Criterios”. Los encabezados ya están listos con los nombres exactos que espera el importador.</t>
        </is>
      </c>
    </row>
    <row r="6" ht="36" customHeight="1">
      <c r="B6" s="3" t="inlineStr">
        <is>
          <t>1</t>
        </is>
      </c>
      <c r="C6" s="4" t="inlineStr">
        <is>
          <t>Los encabezados obligatorios son: Area, Criterio, Descripcion_Criterio, Peso_Criterio, Insatisfactorio, Necesitas_Mejorar, Bueno, Satisfactorio y Excelente.</t>
        </is>
      </c>
    </row>
    <row r="7" ht="36" customHeight="1">
      <c r="B7" s="3" t="inlineStr">
        <is>
          <t>2</t>
        </is>
      </c>
      <c r="C7" s="4" t="inlineStr">
        <is>
          <t>En Area usa solamente uno de estos valores: Desarrollo o DEV, Habilidades Blandas o SOFT, Ingles o ENGLISH.</t>
        </is>
      </c>
    </row>
    <row r="8" ht="36" customHeight="1">
      <c r="B8" s="3" t="inlineStr">
        <is>
          <t>3</t>
        </is>
      </c>
      <c r="C8" s="4" t="inlineStr">
        <is>
          <t>Peso_Criterio debe ser un número entre 0 y 100. La suma total debe dar 100.</t>
        </is>
      </c>
    </row>
    <row r="9" ht="36" customHeight="1">
      <c r="B9" s="3" t="inlineStr">
        <is>
          <t>4</t>
        </is>
      </c>
      <c r="C9" s="4" t="inlineStr">
        <is>
          <t>Las columnas de niveles guardan el texto descriptivo de cada nivel. Los puntajes se asignan automáticamente así: 0, 25, 50, 75 y 100.</t>
        </is>
      </c>
    </row>
    <row r="10" ht="36" customHeight="1">
      <c r="B10" s="3" t="inlineStr">
        <is>
          <t>5</t>
        </is>
      </c>
      <c r="C10" s="4" t="inlineStr">
        <is>
          <t>Puedes escribir un criterio por fila. La hoja trae una alerta visual si los pesos no suman 100.</t>
        </is>
      </c>
    </row>
    <row r="11" ht="36" customHeight="1">
      <c r="B11" s="3" t="inlineStr">
        <is>
          <t>6</t>
        </is>
      </c>
      <c r="C11" s="4" t="inlineStr">
        <is>
          <t>A la derecha de la hoja Criterios verás un ejemplo visual, pero la tabla principal está en blanco para capturar datos reales.</t>
        </is>
      </c>
    </row>
  </sheetData>
  <mergeCells count="2">
    <mergeCell ref="B4:C4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4" customWidth="1" min="3" max="3"/>
    <col width="16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3" customWidth="1" min="11" max="11"/>
    <col width="28" customWidth="1" min="12" max="12"/>
    <col width="15" customWidth="1" min="13" max="13"/>
    <col width="13" customWidth="1" min="14" max="14"/>
  </cols>
  <sheetData>
    <row r="1" ht="28" customHeight="1">
      <c r="A1" s="1" t="inlineStr">
        <is>
          <t>Carga desde Excel (.xlsx / .csv)</t>
        </is>
      </c>
    </row>
    <row r="3">
      <c r="A3" s="5" t="inlineStr">
        <is>
          <t>Total pesos</t>
        </is>
      </c>
      <c r="B3" s="6">
        <f>SUM(D8:D207)</f>
        <v/>
      </c>
      <c r="C3" s="5" t="inlineStr">
        <is>
          <t>Estado</t>
        </is>
      </c>
      <c r="D3" s="7">
        <f>IF(COUNTA(B8:B207)=0,"Empieza a cargar criterios",IF(B3=100,"Listo para importar","⚠️ Los pesos deben sumar 100"))</f>
        <v/>
      </c>
    </row>
    <row r="4">
      <c r="A4" s="8" t="inlineStr">
        <is>
          <t>Encabezados exactos del importador. La tabla principal está vacía; el ejemplo está a la derecha.</t>
        </is>
      </c>
    </row>
    <row r="5">
      <c r="A5" s="9" t="inlineStr">
        <is>
          <t>➕ Agregar criterio
Escribe en la siguiente fila vacía de la tabla</t>
        </is>
      </c>
      <c r="K5" s="10" t="inlineStr">
        <is>
          <t>Ejemplo</t>
        </is>
      </c>
    </row>
    <row r="6"/>
    <row r="7">
      <c r="A7" s="11" t="inlineStr">
        <is>
          <t>Area</t>
        </is>
      </c>
      <c r="B7" s="11" t="inlineStr">
        <is>
          <t>Criterio</t>
        </is>
      </c>
      <c r="C7" s="11" t="inlineStr">
        <is>
          <t>Descripcion_Criterio</t>
        </is>
      </c>
      <c r="D7" s="11" t="inlineStr">
        <is>
          <t>Peso_Criterio</t>
        </is>
      </c>
      <c r="E7" s="11" t="inlineStr">
        <is>
          <t>Insatisfactorio</t>
        </is>
      </c>
      <c r="F7" s="11" t="inlineStr">
        <is>
          <t>Necesitas_Mejorar</t>
        </is>
      </c>
      <c r="G7" s="11" t="inlineStr">
        <is>
          <t>Bueno</t>
        </is>
      </c>
      <c r="H7" s="11" t="inlineStr">
        <is>
          <t>Satisfactorio</t>
        </is>
      </c>
      <c r="I7" s="11" t="inlineStr">
        <is>
          <t>Excelente</t>
        </is>
      </c>
      <c r="K7" s="11" t="inlineStr">
        <is>
          <t>Area</t>
        </is>
      </c>
      <c r="L7" s="11" t="inlineStr">
        <is>
          <t>Criterio</t>
        </is>
      </c>
      <c r="M7" s="11" t="inlineStr">
        <is>
          <t>Descripcion_Criterio</t>
        </is>
      </c>
      <c r="N7" s="11" t="inlineStr">
        <is>
          <t>Peso_Criterio</t>
        </is>
      </c>
      <c r="O7" s="11" t="inlineStr">
        <is>
          <t>Insatisfactorio</t>
        </is>
      </c>
      <c r="P7" s="11" t="inlineStr">
        <is>
          <t>Necesitas_Mejorar</t>
        </is>
      </c>
      <c r="Q7" s="11" t="inlineStr">
        <is>
          <t>Bueno</t>
        </is>
      </c>
      <c r="R7" s="11" t="inlineStr">
        <is>
          <t>Satisfactorio</t>
        </is>
      </c>
      <c r="S7" s="11" t="inlineStr">
        <is>
          <t>Excelente</t>
        </is>
      </c>
    </row>
    <row r="8" ht="34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K8" s="13" t="inlineStr">
        <is>
          <t>Desarrollo</t>
        </is>
      </c>
      <c r="L8" s="13" t="inlineStr">
        <is>
          <t>Backend API</t>
        </is>
      </c>
      <c r="M8" s="13" t="inlineStr">
        <is>
          <t>Calidad de los endpoints</t>
        </is>
      </c>
      <c r="N8" s="13" t="n">
        <v>25</v>
      </c>
      <c r="O8" s="13" t="inlineStr">
        <is>
          <t>No entrega nada</t>
        </is>
      </c>
      <c r="P8" s="13" t="inlineStr">
        <is>
          <t>Errores en rutas</t>
        </is>
      </c>
      <c r="Q8" s="13" t="inlineStr">
        <is>
          <t>Funciona básico</t>
        </is>
      </c>
      <c r="R8" s="13" t="inlineStr">
        <is>
          <t>Sigue estándares</t>
        </is>
      </c>
      <c r="S8" s="13" t="inlineStr">
        <is>
          <t>Documentación perfecta</t>
        </is>
      </c>
    </row>
    <row r="9" ht="34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 ht="34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34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 ht="34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34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34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34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34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34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34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34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 ht="34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34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34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34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 ht="34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 ht="34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 ht="34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34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 ht="34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 ht="34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 ht="34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 ht="34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 ht="34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 ht="34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</row>
    <row r="34" ht="34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</row>
    <row r="35" ht="34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</row>
    <row r="36" ht="34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</row>
    <row r="37" ht="34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 ht="34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</row>
    <row r="39" ht="34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</row>
    <row r="40" ht="34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</row>
    <row r="41" ht="34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</row>
    <row r="42" ht="34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</row>
    <row r="43" ht="34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</row>
    <row r="44" ht="34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</row>
    <row r="45" ht="34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 ht="34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</row>
    <row r="47" ht="34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</row>
    <row r="48" ht="34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</row>
    <row r="49" ht="34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</row>
    <row r="50" ht="34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</row>
    <row r="51" ht="34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</row>
    <row r="52" ht="34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</row>
    <row r="53" ht="34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</row>
    <row r="54" ht="34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</row>
    <row r="55" ht="34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</row>
    <row r="56" ht="34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</row>
    <row r="57" ht="34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</row>
    <row r="58" ht="34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</row>
    <row r="59" ht="34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</row>
    <row r="60" ht="34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</row>
    <row r="61" ht="34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</row>
    <row r="62" ht="34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</row>
    <row r="63" ht="34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</row>
    <row r="64" ht="34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</row>
    <row r="65" ht="34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</row>
    <row r="66" ht="34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</row>
    <row r="67" ht="34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</row>
    <row r="68" ht="34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</row>
    <row r="69" ht="34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</row>
    <row r="70" ht="34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</row>
    <row r="71" ht="34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</row>
    <row r="72" ht="34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</row>
    <row r="73" ht="34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</row>
    <row r="74" ht="34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</row>
    <row r="75" ht="34" customHeight="1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</row>
    <row r="76" ht="34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</row>
    <row r="77" ht="34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</row>
    <row r="78" ht="34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</row>
    <row r="79" ht="34" customHeight="1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</row>
    <row r="80" ht="34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</row>
    <row r="81" ht="34" customHeight="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</row>
    <row r="82" ht="34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</row>
    <row r="83" ht="34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</row>
    <row r="84" ht="34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</row>
    <row r="85" ht="34" customHeight="1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</row>
    <row r="86" ht="34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</row>
    <row r="87" ht="34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</row>
    <row r="88" ht="34" customHeight="1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</row>
    <row r="89" ht="34" customHeight="1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</row>
    <row r="90" ht="34" customHeight="1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</row>
    <row r="91" ht="34" customHeight="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</row>
    <row r="92" ht="34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</row>
    <row r="93" ht="34" customHeight="1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</row>
    <row r="94" ht="34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</row>
    <row r="95" ht="34" customHeight="1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</row>
    <row r="96" ht="34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</row>
    <row r="97" ht="34" customHeight="1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</row>
    <row r="98" ht="34" customHeight="1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</row>
    <row r="99" ht="34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</row>
    <row r="100" ht="34" customHeight="1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</row>
    <row r="101" ht="34" customHeight="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</row>
    <row r="102" ht="34" customHeight="1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</row>
    <row r="103" ht="34" customHeight="1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</row>
    <row r="104" ht="34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</row>
    <row r="105" ht="34" customHeight="1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</row>
    <row r="106" ht="34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</row>
    <row r="107" ht="34" customHeight="1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</row>
    <row r="108" ht="34" customHeight="1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</row>
    <row r="109" ht="34" customHeight="1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</row>
    <row r="110" ht="34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</row>
    <row r="111" ht="34" customHeight="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</row>
    <row r="112" ht="34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</row>
    <row r="113" ht="34" customHeight="1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</row>
    <row r="114" ht="34" customHeight="1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</row>
    <row r="115" ht="34" customHeight="1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</row>
    <row r="116" ht="34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</row>
    <row r="117" ht="34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</row>
    <row r="118" ht="34" customHeight="1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</row>
    <row r="119" ht="34" customHeight="1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</row>
    <row r="120" ht="34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</row>
    <row r="121" ht="34" customHeight="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</row>
    <row r="122" ht="34" customHeight="1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</row>
    <row r="123" ht="34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</row>
    <row r="124" ht="34" customHeight="1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</row>
    <row r="125" ht="34" customHeight="1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</row>
    <row r="126" ht="34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</row>
    <row r="127" ht="34" customHeight="1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</row>
    <row r="128" ht="34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</row>
    <row r="129" ht="34" customHeight="1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</row>
    <row r="130" ht="34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</row>
    <row r="131" ht="34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</row>
    <row r="132" ht="34" customHeight="1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</row>
    <row r="133" ht="34" customHeight="1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</row>
    <row r="134" ht="34" customHeight="1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</row>
    <row r="135" ht="34" customHeight="1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</row>
    <row r="136" ht="34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</row>
    <row r="137" ht="34" customHeight="1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</row>
    <row r="138" ht="34" customHeight="1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</row>
    <row r="139" ht="34" customHeight="1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</row>
    <row r="140" ht="34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</row>
    <row r="141" ht="34" customHeight="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</row>
    <row r="142" ht="34" customHeight="1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</row>
    <row r="143" ht="34" customHeight="1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</row>
    <row r="144" ht="34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</row>
    <row r="145" ht="34" customHeight="1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</row>
    <row r="146" ht="34" customHeight="1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</row>
    <row r="147" ht="34" customHeight="1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</row>
    <row r="148" ht="34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</row>
    <row r="149" ht="34" customHeight="1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</row>
    <row r="150" ht="34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</row>
    <row r="151" ht="34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</row>
    <row r="152" ht="34" customHeight="1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</row>
    <row r="153" ht="34" customHeight="1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</row>
    <row r="154" ht="34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</row>
    <row r="155" ht="34" customHeight="1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</row>
    <row r="156" ht="34" customHeight="1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</row>
    <row r="157" ht="34" customHeight="1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</row>
    <row r="158" ht="34" customHeight="1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</row>
    <row r="159" ht="34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</row>
    <row r="160" ht="34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</row>
    <row r="161" ht="34" customHeight="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</row>
    <row r="162" ht="34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</row>
    <row r="163" ht="34" customHeight="1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</row>
    <row r="164" ht="34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</row>
    <row r="165" ht="34" customHeight="1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</row>
    <row r="166" ht="34" customHeight="1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</row>
    <row r="167" ht="34" customHeight="1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</row>
    <row r="168" ht="34" customHeight="1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</row>
    <row r="169" ht="34" customHeight="1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</row>
    <row r="170" ht="34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</row>
    <row r="171" ht="34" customHeight="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</row>
    <row r="172" ht="34" customHeight="1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</row>
    <row r="173" ht="34" customHeight="1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</row>
    <row r="174" ht="34" customHeight="1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</row>
    <row r="175" ht="34" customHeight="1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</row>
    <row r="176" ht="34" customHeight="1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</row>
    <row r="177" ht="34" customHeight="1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</row>
    <row r="178" ht="34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</row>
    <row r="179" ht="34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</row>
    <row r="180" ht="34" customHeight="1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</row>
    <row r="181" ht="34" customHeight="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</row>
    <row r="182" ht="34" customHeight="1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</row>
    <row r="183" ht="34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</row>
    <row r="184" ht="34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</row>
    <row r="185" ht="34" customHeight="1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</row>
    <row r="186" ht="34" customHeight="1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</row>
    <row r="187" ht="34" customHeight="1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</row>
    <row r="188" ht="34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</row>
    <row r="189" ht="34" customHeight="1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</row>
    <row r="190" ht="34" customHeight="1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</row>
    <row r="191" ht="34" customHeight="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</row>
    <row r="192" ht="34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</row>
    <row r="193" ht="34" customHeight="1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</row>
    <row r="194" ht="34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</row>
    <row r="195" ht="34" customHeight="1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</row>
    <row r="196" ht="34" customHeight="1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</row>
    <row r="197" ht="34" customHeight="1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</row>
    <row r="198" ht="34" customHeight="1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</row>
    <row r="199" ht="34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</row>
    <row r="200" ht="34" customHeight="1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</row>
    <row r="201" ht="34" customHeight="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</row>
    <row r="202" ht="34" customHeight="1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</row>
    <row r="203" ht="34" customHeight="1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</row>
    <row r="204" ht="34" customHeight="1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</row>
    <row r="205" ht="34" customHeight="1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</row>
    <row r="206" ht="34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</row>
    <row r="207" ht="34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</row>
  </sheetData>
  <mergeCells count="3">
    <mergeCell ref="A1:I1"/>
    <mergeCell ref="A4:I4"/>
    <mergeCell ref="A5:D6"/>
  </mergeCells>
  <conditionalFormatting sqref="B3">
    <cfRule type="expression" priority="1" dxfId="0">
      <formula>B3=100</formula>
    </cfRule>
    <cfRule type="expression" priority="2" dxfId="1">
      <formula>AND(B3&lt;&gt;100,COUNTA($B$8:$B$207)&gt;0)</formula>
    </cfRule>
  </conditionalFormatting>
  <conditionalFormatting sqref="D3">
    <cfRule type="expression" priority="3" dxfId="0">
      <formula>B3=100</formula>
    </cfRule>
    <cfRule type="expression" priority="4" dxfId="2">
      <formula>AND(B3&lt;&gt;100,COUNTA($B$8:$B$207)&gt;0)</formula>
    </cfRule>
  </conditionalFormatting>
  <conditionalFormatting sqref="A8:A207">
    <cfRule type="expression" priority="5" dxfId="3">
      <formula>AND($D8&lt;&gt;"",$A8="")</formula>
    </cfRule>
  </conditionalFormatting>
  <conditionalFormatting sqref="B8:B207">
    <cfRule type="expression" priority="6" dxfId="3">
      <formula>AND($D8&lt;&gt;"",$A8="")</formula>
    </cfRule>
  </conditionalFormatting>
  <conditionalFormatting sqref="C8:C207">
    <cfRule type="expression" priority="7" dxfId="3">
      <formula>AND($D8&lt;&gt;"",$A8="")</formula>
    </cfRule>
  </conditionalFormatting>
  <conditionalFormatting sqref="D8:D207">
    <cfRule type="expression" priority="8" dxfId="3">
      <formula>AND($D8&lt;&gt;"",$A8="")</formula>
    </cfRule>
  </conditionalFormatting>
  <conditionalFormatting sqref="E8:E207">
    <cfRule type="expression" priority="9" dxfId="3">
      <formula>AND($D8&lt;&gt;"",$A8="")</formula>
    </cfRule>
  </conditionalFormatting>
  <conditionalFormatting sqref="F8:F207">
    <cfRule type="expression" priority="10" dxfId="3">
      <formula>AND($D8&lt;&gt;"",$A8="")</formula>
    </cfRule>
  </conditionalFormatting>
  <conditionalFormatting sqref="G8:G207">
    <cfRule type="expression" priority="11" dxfId="3">
      <formula>AND($D8&lt;&gt;"",$A8="")</formula>
    </cfRule>
  </conditionalFormatting>
  <conditionalFormatting sqref="H8:H207">
    <cfRule type="expression" priority="12" dxfId="3">
      <formula>AND($D8&lt;&gt;"",$A8="")</formula>
    </cfRule>
  </conditionalFormatting>
  <conditionalFormatting sqref="I8:I207">
    <cfRule type="expression" priority="13" dxfId="3">
      <formula>AND($D8&lt;&gt;"",$A8="")</formula>
    </cfRule>
  </conditionalFormatting>
  <dataValidations count="2">
    <dataValidation sqref="A8:A207" showDropDown="0" showInputMessage="0" showErrorMessage="0" allowBlank="1" errorTitle="Valor inválido" error="Solo se permite: ENGLISH, DEVELOPMENT o SOFT_SKILLS." promptTitle="Area" prompt="Selecciona: ENGLISH, DEVELOPMENT o SOFT_SKILLS." type="list">
      <formula1>"ENGLISH,DEVELOPMENT,SOFT_SKILLS"</formula1>
    </dataValidation>
    <dataValidation sqref="D8:D207" showDropDown="0" showInputMessage="0" showErrorMessage="0" allowBlank="1" errorTitle="Peso inválido" error="Peso_Criterio debe ser entre 0 y 100." promptTitle="Peso_Criterio" prompt="Número entre 0 y 100." type="whole" operator="between">
      <formula1>0</formula1>
      <formula2>100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rubric_name</t>
        </is>
      </c>
      <c r="B1" s="14" t="inlineStr">
        <is>
          <t>rubric_weight</t>
        </is>
      </c>
      <c r="C1" s="14" t="inlineStr">
        <is>
          <t>grade_name</t>
        </is>
      </c>
      <c r="D1" s="14" t="inlineStr">
        <is>
          <t>grade_description</t>
        </is>
      </c>
      <c r="E1" s="14" t="inlineStr">
        <is>
          <t>grade_score</t>
        </is>
      </c>
      <c r="F1" s="14" t="inlineStr">
        <is>
          <t>area</t>
        </is>
      </c>
      <c r="G1" s="14" t="inlineStr">
        <is>
          <t>source_row</t>
        </is>
      </c>
    </row>
    <row r="2">
      <c r="A2">
        <f>IF(Criterios!B8="","",Criterios!B8)</f>
        <v/>
      </c>
      <c r="B2">
        <f>IF(Criterios!B8="","",Criterios!D8/100)</f>
        <v/>
      </c>
      <c r="C2">
        <f>IF(Criterios!B8="","",'Insatisfactorio')</f>
        <v/>
      </c>
      <c r="D2">
        <f>IF(Criterios!B8="","",Criterios!E8)</f>
        <v/>
      </c>
      <c r="E2">
        <f>IF(Criterios!B8="","",0)</f>
        <v/>
      </c>
      <c r="F2">
        <f>IF(Criterios!B8="","",Criterios!A8)</f>
        <v/>
      </c>
      <c r="G2">
        <f>IF(Criterios!B8="","",8)</f>
        <v/>
      </c>
    </row>
    <row r="3">
      <c r="A3">
        <f>IF(Criterios!B8="","",Criterios!B8)</f>
        <v/>
      </c>
      <c r="B3">
        <f>IF(Criterios!B8="","",Criterios!D8/100)</f>
        <v/>
      </c>
      <c r="C3">
        <f>IF(Criterios!B8="","",'Necesitas_Mejorar')</f>
        <v/>
      </c>
      <c r="D3">
        <f>IF(Criterios!B8="","",Criterios!F8)</f>
        <v/>
      </c>
      <c r="E3">
        <f>IF(Criterios!B8="","",25)</f>
        <v/>
      </c>
      <c r="F3">
        <f>IF(Criterios!B8="","",Criterios!A8)</f>
        <v/>
      </c>
      <c r="G3">
        <f>IF(Criterios!B8="","",8)</f>
        <v/>
      </c>
    </row>
    <row r="4">
      <c r="A4">
        <f>IF(Criterios!B8="","",Criterios!B8)</f>
        <v/>
      </c>
      <c r="B4">
        <f>IF(Criterios!B8="","",Criterios!D8/100)</f>
        <v/>
      </c>
      <c r="C4">
        <f>IF(Criterios!B8="","",'Bueno')</f>
        <v/>
      </c>
      <c r="D4">
        <f>IF(Criterios!B8="","",Criterios!G8)</f>
        <v/>
      </c>
      <c r="E4">
        <f>IF(Criterios!B8="","",50)</f>
        <v/>
      </c>
      <c r="F4">
        <f>IF(Criterios!B8="","",Criterios!A8)</f>
        <v/>
      </c>
      <c r="G4">
        <f>IF(Criterios!B8="","",8)</f>
        <v/>
      </c>
    </row>
    <row r="5">
      <c r="A5">
        <f>IF(Criterios!B8="","",Criterios!B8)</f>
        <v/>
      </c>
      <c r="B5">
        <f>IF(Criterios!B8="","",Criterios!D8/100)</f>
        <v/>
      </c>
      <c r="C5">
        <f>IF(Criterios!B8="","",'Satisfactorio')</f>
        <v/>
      </c>
      <c r="D5">
        <f>IF(Criterios!B8="","",Criterios!H8)</f>
        <v/>
      </c>
      <c r="E5">
        <f>IF(Criterios!B8="","",75)</f>
        <v/>
      </c>
      <c r="F5">
        <f>IF(Criterios!B8="","",Criterios!A8)</f>
        <v/>
      </c>
      <c r="G5">
        <f>IF(Criterios!B8="","",8)</f>
        <v/>
      </c>
    </row>
    <row r="6">
      <c r="A6">
        <f>IF(Criterios!B8="","",Criterios!B8)</f>
        <v/>
      </c>
      <c r="B6">
        <f>IF(Criterios!B8="","",Criterios!D8/100)</f>
        <v/>
      </c>
      <c r="C6">
        <f>IF(Criterios!B8="","",'Excelente')</f>
        <v/>
      </c>
      <c r="D6">
        <f>IF(Criterios!B8="","",Criterios!I8)</f>
        <v/>
      </c>
      <c r="E6">
        <f>IF(Criterios!B8="","",100)</f>
        <v/>
      </c>
      <c r="F6">
        <f>IF(Criterios!B8="","",Criterios!A8)</f>
        <v/>
      </c>
      <c r="G6">
        <f>IF(Criterios!B8="","",8)</f>
        <v/>
      </c>
    </row>
    <row r="7">
      <c r="A7">
        <f>IF(Criterios!B9="","",Criterios!B9)</f>
        <v/>
      </c>
      <c r="B7">
        <f>IF(Criterios!B9="","",Criterios!D9/100)</f>
        <v/>
      </c>
      <c r="C7">
        <f>IF(Criterios!B9="","",'Insatisfactorio')</f>
        <v/>
      </c>
      <c r="D7">
        <f>IF(Criterios!B9="","",Criterios!E9)</f>
        <v/>
      </c>
      <c r="E7">
        <f>IF(Criterios!B9="","",0)</f>
        <v/>
      </c>
      <c r="F7">
        <f>IF(Criterios!B9="","",Criterios!A9)</f>
        <v/>
      </c>
      <c r="G7">
        <f>IF(Criterios!B9="","",9)</f>
        <v/>
      </c>
    </row>
    <row r="8">
      <c r="A8">
        <f>IF(Criterios!B9="","",Criterios!B9)</f>
        <v/>
      </c>
      <c r="B8">
        <f>IF(Criterios!B9="","",Criterios!D9/100)</f>
        <v/>
      </c>
      <c r="C8">
        <f>IF(Criterios!B9="","",'Necesitas_Mejorar')</f>
        <v/>
      </c>
      <c r="D8">
        <f>IF(Criterios!B9="","",Criterios!F9)</f>
        <v/>
      </c>
      <c r="E8">
        <f>IF(Criterios!B9="","",25)</f>
        <v/>
      </c>
      <c r="F8">
        <f>IF(Criterios!B9="","",Criterios!A9)</f>
        <v/>
      </c>
      <c r="G8">
        <f>IF(Criterios!B9="","",9)</f>
        <v/>
      </c>
    </row>
    <row r="9">
      <c r="A9">
        <f>IF(Criterios!B9="","",Criterios!B9)</f>
        <v/>
      </c>
      <c r="B9">
        <f>IF(Criterios!B9="","",Criterios!D9/100)</f>
        <v/>
      </c>
      <c r="C9">
        <f>IF(Criterios!B9="","",'Bueno')</f>
        <v/>
      </c>
      <c r="D9">
        <f>IF(Criterios!B9="","",Criterios!G9)</f>
        <v/>
      </c>
      <c r="E9">
        <f>IF(Criterios!B9="","",50)</f>
        <v/>
      </c>
      <c r="F9">
        <f>IF(Criterios!B9="","",Criterios!A9)</f>
        <v/>
      </c>
      <c r="G9">
        <f>IF(Criterios!B9="","",9)</f>
        <v/>
      </c>
    </row>
    <row r="10">
      <c r="A10">
        <f>IF(Criterios!B9="","",Criterios!B9)</f>
        <v/>
      </c>
      <c r="B10">
        <f>IF(Criterios!B9="","",Criterios!D9/100)</f>
        <v/>
      </c>
      <c r="C10">
        <f>IF(Criterios!B9="","",'Satisfactorio')</f>
        <v/>
      </c>
      <c r="D10">
        <f>IF(Criterios!B9="","",Criterios!H9)</f>
        <v/>
      </c>
      <c r="E10">
        <f>IF(Criterios!B9="","",75)</f>
        <v/>
      </c>
      <c r="F10">
        <f>IF(Criterios!B9="","",Criterios!A9)</f>
        <v/>
      </c>
      <c r="G10">
        <f>IF(Criterios!B9="","",9)</f>
        <v/>
      </c>
    </row>
    <row r="11">
      <c r="A11">
        <f>IF(Criterios!B9="","",Criterios!B9)</f>
        <v/>
      </c>
      <c r="B11">
        <f>IF(Criterios!B9="","",Criterios!D9/100)</f>
        <v/>
      </c>
      <c r="C11">
        <f>IF(Criterios!B9="","",'Excelente')</f>
        <v/>
      </c>
      <c r="D11">
        <f>IF(Criterios!B9="","",Criterios!I9)</f>
        <v/>
      </c>
      <c r="E11">
        <f>IF(Criterios!B9="","",100)</f>
        <v/>
      </c>
      <c r="F11">
        <f>IF(Criterios!B9="","",Criterios!A9)</f>
        <v/>
      </c>
      <c r="G11">
        <f>IF(Criterios!B9="","",9)</f>
        <v/>
      </c>
    </row>
    <row r="12">
      <c r="A12">
        <f>IF(Criterios!B10="","",Criterios!B10)</f>
        <v/>
      </c>
      <c r="B12">
        <f>IF(Criterios!B10="","",Criterios!D10/100)</f>
        <v/>
      </c>
      <c r="C12">
        <f>IF(Criterios!B10="","",'Insatisfactorio')</f>
        <v/>
      </c>
      <c r="D12">
        <f>IF(Criterios!B10="","",Criterios!E10)</f>
        <v/>
      </c>
      <c r="E12">
        <f>IF(Criterios!B10="","",0)</f>
        <v/>
      </c>
      <c r="F12">
        <f>IF(Criterios!B10="","",Criterios!A10)</f>
        <v/>
      </c>
      <c r="G12">
        <f>IF(Criterios!B10="","",10)</f>
        <v/>
      </c>
    </row>
    <row r="13">
      <c r="A13">
        <f>IF(Criterios!B10="","",Criterios!B10)</f>
        <v/>
      </c>
      <c r="B13">
        <f>IF(Criterios!B10="","",Criterios!D10/100)</f>
        <v/>
      </c>
      <c r="C13">
        <f>IF(Criterios!B10="","",'Necesitas_Mejorar')</f>
        <v/>
      </c>
      <c r="D13">
        <f>IF(Criterios!B10="","",Criterios!F10)</f>
        <v/>
      </c>
      <c r="E13">
        <f>IF(Criterios!B10="","",25)</f>
        <v/>
      </c>
      <c r="F13">
        <f>IF(Criterios!B10="","",Criterios!A10)</f>
        <v/>
      </c>
      <c r="G13">
        <f>IF(Criterios!B10="","",10)</f>
        <v/>
      </c>
    </row>
    <row r="14">
      <c r="A14">
        <f>IF(Criterios!B10="","",Criterios!B10)</f>
        <v/>
      </c>
      <c r="B14">
        <f>IF(Criterios!B10="","",Criterios!D10/100)</f>
        <v/>
      </c>
      <c r="C14">
        <f>IF(Criterios!B10="","",'Bueno')</f>
        <v/>
      </c>
      <c r="D14">
        <f>IF(Criterios!B10="","",Criterios!G10)</f>
        <v/>
      </c>
      <c r="E14">
        <f>IF(Criterios!B10="","",50)</f>
        <v/>
      </c>
      <c r="F14">
        <f>IF(Criterios!B10="","",Criterios!A10)</f>
        <v/>
      </c>
      <c r="G14">
        <f>IF(Criterios!B10="","",10)</f>
        <v/>
      </c>
    </row>
    <row r="15">
      <c r="A15">
        <f>IF(Criterios!B10="","",Criterios!B10)</f>
        <v/>
      </c>
      <c r="B15">
        <f>IF(Criterios!B10="","",Criterios!D10/100)</f>
        <v/>
      </c>
      <c r="C15">
        <f>IF(Criterios!B10="","",'Satisfactorio')</f>
        <v/>
      </c>
      <c r="D15">
        <f>IF(Criterios!B10="","",Criterios!H10)</f>
        <v/>
      </c>
      <c r="E15">
        <f>IF(Criterios!B10="","",75)</f>
        <v/>
      </c>
      <c r="F15">
        <f>IF(Criterios!B10="","",Criterios!A10)</f>
        <v/>
      </c>
      <c r="G15">
        <f>IF(Criterios!B10="","",10)</f>
        <v/>
      </c>
    </row>
    <row r="16">
      <c r="A16">
        <f>IF(Criterios!B10="","",Criterios!B10)</f>
        <v/>
      </c>
      <c r="B16">
        <f>IF(Criterios!B10="","",Criterios!D10/100)</f>
        <v/>
      </c>
      <c r="C16">
        <f>IF(Criterios!B10="","",'Excelente')</f>
        <v/>
      </c>
      <c r="D16">
        <f>IF(Criterios!B10="","",Criterios!I10)</f>
        <v/>
      </c>
      <c r="E16">
        <f>IF(Criterios!B10="","",100)</f>
        <v/>
      </c>
      <c r="F16">
        <f>IF(Criterios!B10="","",Criterios!A10)</f>
        <v/>
      </c>
      <c r="G16">
        <f>IF(Criterios!B10="","",10)</f>
        <v/>
      </c>
    </row>
    <row r="17">
      <c r="A17">
        <f>IF(Criterios!B11="","",Criterios!B11)</f>
        <v/>
      </c>
      <c r="B17">
        <f>IF(Criterios!B11="","",Criterios!D11/100)</f>
        <v/>
      </c>
      <c r="C17">
        <f>IF(Criterios!B11="","",'Insatisfactorio')</f>
        <v/>
      </c>
      <c r="D17">
        <f>IF(Criterios!B11="","",Criterios!E11)</f>
        <v/>
      </c>
      <c r="E17">
        <f>IF(Criterios!B11="","",0)</f>
        <v/>
      </c>
      <c r="F17">
        <f>IF(Criterios!B11="","",Criterios!A11)</f>
        <v/>
      </c>
      <c r="G17">
        <f>IF(Criterios!B11="","",11)</f>
        <v/>
      </c>
    </row>
    <row r="18">
      <c r="A18">
        <f>IF(Criterios!B11="","",Criterios!B11)</f>
        <v/>
      </c>
      <c r="B18">
        <f>IF(Criterios!B11="","",Criterios!D11/100)</f>
        <v/>
      </c>
      <c r="C18">
        <f>IF(Criterios!B11="","",'Necesitas_Mejorar')</f>
        <v/>
      </c>
      <c r="D18">
        <f>IF(Criterios!B11="","",Criterios!F11)</f>
        <v/>
      </c>
      <c r="E18">
        <f>IF(Criterios!B11="","",25)</f>
        <v/>
      </c>
      <c r="F18">
        <f>IF(Criterios!B11="","",Criterios!A11)</f>
        <v/>
      </c>
      <c r="G18">
        <f>IF(Criterios!B11="","",11)</f>
        <v/>
      </c>
    </row>
    <row r="19">
      <c r="A19">
        <f>IF(Criterios!B11="","",Criterios!B11)</f>
        <v/>
      </c>
      <c r="B19">
        <f>IF(Criterios!B11="","",Criterios!D11/100)</f>
        <v/>
      </c>
      <c r="C19">
        <f>IF(Criterios!B11="","",'Bueno')</f>
        <v/>
      </c>
      <c r="D19">
        <f>IF(Criterios!B11="","",Criterios!G11)</f>
        <v/>
      </c>
      <c r="E19">
        <f>IF(Criterios!B11="","",50)</f>
        <v/>
      </c>
      <c r="F19">
        <f>IF(Criterios!B11="","",Criterios!A11)</f>
        <v/>
      </c>
      <c r="G19">
        <f>IF(Criterios!B11="","",11)</f>
        <v/>
      </c>
    </row>
    <row r="20">
      <c r="A20">
        <f>IF(Criterios!B11="","",Criterios!B11)</f>
        <v/>
      </c>
      <c r="B20">
        <f>IF(Criterios!B11="","",Criterios!D11/100)</f>
        <v/>
      </c>
      <c r="C20">
        <f>IF(Criterios!B11="","",'Satisfactorio')</f>
        <v/>
      </c>
      <c r="D20">
        <f>IF(Criterios!B11="","",Criterios!H11)</f>
        <v/>
      </c>
      <c r="E20">
        <f>IF(Criterios!B11="","",75)</f>
        <v/>
      </c>
      <c r="F20">
        <f>IF(Criterios!B11="","",Criterios!A11)</f>
        <v/>
      </c>
      <c r="G20">
        <f>IF(Criterios!B11="","",11)</f>
        <v/>
      </c>
    </row>
    <row r="21">
      <c r="A21">
        <f>IF(Criterios!B11="","",Criterios!B11)</f>
        <v/>
      </c>
      <c r="B21">
        <f>IF(Criterios!B11="","",Criterios!D11/100)</f>
        <v/>
      </c>
      <c r="C21">
        <f>IF(Criterios!B11="","",'Excelente')</f>
        <v/>
      </c>
      <c r="D21">
        <f>IF(Criterios!B11="","",Criterios!I11)</f>
        <v/>
      </c>
      <c r="E21">
        <f>IF(Criterios!B11="","",100)</f>
        <v/>
      </c>
      <c r="F21">
        <f>IF(Criterios!B11="","",Criterios!A11)</f>
        <v/>
      </c>
      <c r="G21">
        <f>IF(Criterios!B11="","",11)</f>
        <v/>
      </c>
    </row>
    <row r="22">
      <c r="A22">
        <f>IF(Criterios!B12="","",Criterios!B12)</f>
        <v/>
      </c>
      <c r="B22">
        <f>IF(Criterios!B12="","",Criterios!D12/100)</f>
        <v/>
      </c>
      <c r="C22">
        <f>IF(Criterios!B12="","",'Insatisfactorio')</f>
        <v/>
      </c>
      <c r="D22">
        <f>IF(Criterios!B12="","",Criterios!E12)</f>
        <v/>
      </c>
      <c r="E22">
        <f>IF(Criterios!B12="","",0)</f>
        <v/>
      </c>
      <c r="F22">
        <f>IF(Criterios!B12="","",Criterios!A12)</f>
        <v/>
      </c>
      <c r="G22">
        <f>IF(Criterios!B12="","",12)</f>
        <v/>
      </c>
    </row>
    <row r="23">
      <c r="A23">
        <f>IF(Criterios!B12="","",Criterios!B12)</f>
        <v/>
      </c>
      <c r="B23">
        <f>IF(Criterios!B12="","",Criterios!D12/100)</f>
        <v/>
      </c>
      <c r="C23">
        <f>IF(Criterios!B12="","",'Necesitas_Mejorar')</f>
        <v/>
      </c>
      <c r="D23">
        <f>IF(Criterios!B12="","",Criterios!F12)</f>
        <v/>
      </c>
      <c r="E23">
        <f>IF(Criterios!B12="","",25)</f>
        <v/>
      </c>
      <c r="F23">
        <f>IF(Criterios!B12="","",Criterios!A12)</f>
        <v/>
      </c>
      <c r="G23">
        <f>IF(Criterios!B12="","",12)</f>
        <v/>
      </c>
    </row>
    <row r="24">
      <c r="A24">
        <f>IF(Criterios!B12="","",Criterios!B12)</f>
        <v/>
      </c>
      <c r="B24">
        <f>IF(Criterios!B12="","",Criterios!D12/100)</f>
        <v/>
      </c>
      <c r="C24">
        <f>IF(Criterios!B12="","",'Bueno')</f>
        <v/>
      </c>
      <c r="D24">
        <f>IF(Criterios!B12="","",Criterios!G12)</f>
        <v/>
      </c>
      <c r="E24">
        <f>IF(Criterios!B12="","",50)</f>
        <v/>
      </c>
      <c r="F24">
        <f>IF(Criterios!B12="","",Criterios!A12)</f>
        <v/>
      </c>
      <c r="G24">
        <f>IF(Criterios!B12="","",12)</f>
        <v/>
      </c>
    </row>
    <row r="25">
      <c r="A25">
        <f>IF(Criterios!B12="","",Criterios!B12)</f>
        <v/>
      </c>
      <c r="B25">
        <f>IF(Criterios!B12="","",Criterios!D12/100)</f>
        <v/>
      </c>
      <c r="C25">
        <f>IF(Criterios!B12="","",'Satisfactorio')</f>
        <v/>
      </c>
      <c r="D25">
        <f>IF(Criterios!B12="","",Criterios!H12)</f>
        <v/>
      </c>
      <c r="E25">
        <f>IF(Criterios!B12="","",75)</f>
        <v/>
      </c>
      <c r="F25">
        <f>IF(Criterios!B12="","",Criterios!A12)</f>
        <v/>
      </c>
      <c r="G25">
        <f>IF(Criterios!B12="","",12)</f>
        <v/>
      </c>
    </row>
    <row r="26">
      <c r="A26">
        <f>IF(Criterios!B12="","",Criterios!B12)</f>
        <v/>
      </c>
      <c r="B26">
        <f>IF(Criterios!B12="","",Criterios!D12/100)</f>
        <v/>
      </c>
      <c r="C26">
        <f>IF(Criterios!B12="","",'Excelente')</f>
        <v/>
      </c>
      <c r="D26">
        <f>IF(Criterios!B12="","",Criterios!I12)</f>
        <v/>
      </c>
      <c r="E26">
        <f>IF(Criterios!B12="","",100)</f>
        <v/>
      </c>
      <c r="F26">
        <f>IF(Criterios!B12="","",Criterios!A12)</f>
        <v/>
      </c>
      <c r="G26">
        <f>IF(Criterios!B12="","",12)</f>
        <v/>
      </c>
    </row>
    <row r="27">
      <c r="A27">
        <f>IF(Criterios!B13="","",Criterios!B13)</f>
        <v/>
      </c>
      <c r="B27">
        <f>IF(Criterios!B13="","",Criterios!D13/100)</f>
        <v/>
      </c>
      <c r="C27">
        <f>IF(Criterios!B13="","",'Insatisfactorio')</f>
        <v/>
      </c>
      <c r="D27">
        <f>IF(Criterios!B13="","",Criterios!E13)</f>
        <v/>
      </c>
      <c r="E27">
        <f>IF(Criterios!B13="","",0)</f>
        <v/>
      </c>
      <c r="F27">
        <f>IF(Criterios!B13="","",Criterios!A13)</f>
        <v/>
      </c>
      <c r="G27">
        <f>IF(Criterios!B13="","",13)</f>
        <v/>
      </c>
    </row>
    <row r="28">
      <c r="A28">
        <f>IF(Criterios!B13="","",Criterios!B13)</f>
        <v/>
      </c>
      <c r="B28">
        <f>IF(Criterios!B13="","",Criterios!D13/100)</f>
        <v/>
      </c>
      <c r="C28">
        <f>IF(Criterios!B13="","",'Necesitas_Mejorar')</f>
        <v/>
      </c>
      <c r="D28">
        <f>IF(Criterios!B13="","",Criterios!F13)</f>
        <v/>
      </c>
      <c r="E28">
        <f>IF(Criterios!B13="","",25)</f>
        <v/>
      </c>
      <c r="F28">
        <f>IF(Criterios!B13="","",Criterios!A13)</f>
        <v/>
      </c>
      <c r="G28">
        <f>IF(Criterios!B13="","",13)</f>
        <v/>
      </c>
    </row>
    <row r="29">
      <c r="A29">
        <f>IF(Criterios!B13="","",Criterios!B13)</f>
        <v/>
      </c>
      <c r="B29">
        <f>IF(Criterios!B13="","",Criterios!D13/100)</f>
        <v/>
      </c>
      <c r="C29">
        <f>IF(Criterios!B13="","",'Bueno')</f>
        <v/>
      </c>
      <c r="D29">
        <f>IF(Criterios!B13="","",Criterios!G13)</f>
        <v/>
      </c>
      <c r="E29">
        <f>IF(Criterios!B13="","",50)</f>
        <v/>
      </c>
      <c r="F29">
        <f>IF(Criterios!B13="","",Criterios!A13)</f>
        <v/>
      </c>
      <c r="G29">
        <f>IF(Criterios!B13="","",13)</f>
        <v/>
      </c>
    </row>
    <row r="30">
      <c r="A30">
        <f>IF(Criterios!B13="","",Criterios!B13)</f>
        <v/>
      </c>
      <c r="B30">
        <f>IF(Criterios!B13="","",Criterios!D13/100)</f>
        <v/>
      </c>
      <c r="C30">
        <f>IF(Criterios!B13="","",'Satisfactorio')</f>
        <v/>
      </c>
      <c r="D30">
        <f>IF(Criterios!B13="","",Criterios!H13)</f>
        <v/>
      </c>
      <c r="E30">
        <f>IF(Criterios!B13="","",75)</f>
        <v/>
      </c>
      <c r="F30">
        <f>IF(Criterios!B13="","",Criterios!A13)</f>
        <v/>
      </c>
      <c r="G30">
        <f>IF(Criterios!B13="","",13)</f>
        <v/>
      </c>
    </row>
    <row r="31">
      <c r="A31">
        <f>IF(Criterios!B13="","",Criterios!B13)</f>
        <v/>
      </c>
      <c r="B31">
        <f>IF(Criterios!B13="","",Criterios!D13/100)</f>
        <v/>
      </c>
      <c r="C31">
        <f>IF(Criterios!B13="","",'Excelente')</f>
        <v/>
      </c>
      <c r="D31">
        <f>IF(Criterios!B13="","",Criterios!I13)</f>
        <v/>
      </c>
      <c r="E31">
        <f>IF(Criterios!B13="","",100)</f>
        <v/>
      </c>
      <c r="F31">
        <f>IF(Criterios!B13="","",Criterios!A13)</f>
        <v/>
      </c>
      <c r="G31">
        <f>IF(Criterios!B13="","",13)</f>
        <v/>
      </c>
    </row>
    <row r="32">
      <c r="A32">
        <f>IF(Criterios!B14="","",Criterios!B14)</f>
        <v/>
      </c>
      <c r="B32">
        <f>IF(Criterios!B14="","",Criterios!D14/100)</f>
        <v/>
      </c>
      <c r="C32">
        <f>IF(Criterios!B14="","",'Insatisfactorio')</f>
        <v/>
      </c>
      <c r="D32">
        <f>IF(Criterios!B14="","",Criterios!E14)</f>
        <v/>
      </c>
      <c r="E32">
        <f>IF(Criterios!B14="","",0)</f>
        <v/>
      </c>
      <c r="F32">
        <f>IF(Criterios!B14="","",Criterios!A14)</f>
        <v/>
      </c>
      <c r="G32">
        <f>IF(Criterios!B14="","",14)</f>
        <v/>
      </c>
    </row>
    <row r="33">
      <c r="A33">
        <f>IF(Criterios!B14="","",Criterios!B14)</f>
        <v/>
      </c>
      <c r="B33">
        <f>IF(Criterios!B14="","",Criterios!D14/100)</f>
        <v/>
      </c>
      <c r="C33">
        <f>IF(Criterios!B14="","",'Necesitas_Mejorar')</f>
        <v/>
      </c>
      <c r="D33">
        <f>IF(Criterios!B14="","",Criterios!F14)</f>
        <v/>
      </c>
      <c r="E33">
        <f>IF(Criterios!B14="","",25)</f>
        <v/>
      </c>
      <c r="F33">
        <f>IF(Criterios!B14="","",Criterios!A14)</f>
        <v/>
      </c>
      <c r="G33">
        <f>IF(Criterios!B14="","",14)</f>
        <v/>
      </c>
    </row>
    <row r="34">
      <c r="A34">
        <f>IF(Criterios!B14="","",Criterios!B14)</f>
        <v/>
      </c>
      <c r="B34">
        <f>IF(Criterios!B14="","",Criterios!D14/100)</f>
        <v/>
      </c>
      <c r="C34">
        <f>IF(Criterios!B14="","",'Bueno')</f>
        <v/>
      </c>
      <c r="D34">
        <f>IF(Criterios!B14="","",Criterios!G14)</f>
        <v/>
      </c>
      <c r="E34">
        <f>IF(Criterios!B14="","",50)</f>
        <v/>
      </c>
      <c r="F34">
        <f>IF(Criterios!B14="","",Criterios!A14)</f>
        <v/>
      </c>
      <c r="G34">
        <f>IF(Criterios!B14="","",14)</f>
        <v/>
      </c>
    </row>
    <row r="35">
      <c r="A35">
        <f>IF(Criterios!B14="","",Criterios!B14)</f>
        <v/>
      </c>
      <c r="B35">
        <f>IF(Criterios!B14="","",Criterios!D14/100)</f>
        <v/>
      </c>
      <c r="C35">
        <f>IF(Criterios!B14="","",'Satisfactorio')</f>
        <v/>
      </c>
      <c r="D35">
        <f>IF(Criterios!B14="","",Criterios!H14)</f>
        <v/>
      </c>
      <c r="E35">
        <f>IF(Criterios!B14="","",75)</f>
        <v/>
      </c>
      <c r="F35">
        <f>IF(Criterios!B14="","",Criterios!A14)</f>
        <v/>
      </c>
      <c r="G35">
        <f>IF(Criterios!B14="","",14)</f>
        <v/>
      </c>
    </row>
    <row r="36">
      <c r="A36">
        <f>IF(Criterios!B14="","",Criterios!B14)</f>
        <v/>
      </c>
      <c r="B36">
        <f>IF(Criterios!B14="","",Criterios!D14/100)</f>
        <v/>
      </c>
      <c r="C36">
        <f>IF(Criterios!B14="","",'Excelente')</f>
        <v/>
      </c>
      <c r="D36">
        <f>IF(Criterios!B14="","",Criterios!I14)</f>
        <v/>
      </c>
      <c r="E36">
        <f>IF(Criterios!B14="","",100)</f>
        <v/>
      </c>
      <c r="F36">
        <f>IF(Criterios!B14="","",Criterios!A14)</f>
        <v/>
      </c>
      <c r="G36">
        <f>IF(Criterios!B14="","",14)</f>
        <v/>
      </c>
    </row>
    <row r="37">
      <c r="A37">
        <f>IF(Criterios!B15="","",Criterios!B15)</f>
        <v/>
      </c>
      <c r="B37">
        <f>IF(Criterios!B15="","",Criterios!D15/100)</f>
        <v/>
      </c>
      <c r="C37">
        <f>IF(Criterios!B15="","",'Insatisfactorio')</f>
        <v/>
      </c>
      <c r="D37">
        <f>IF(Criterios!B15="","",Criterios!E15)</f>
        <v/>
      </c>
      <c r="E37">
        <f>IF(Criterios!B15="","",0)</f>
        <v/>
      </c>
      <c r="F37">
        <f>IF(Criterios!B15="","",Criterios!A15)</f>
        <v/>
      </c>
      <c r="G37">
        <f>IF(Criterios!B15="","",15)</f>
        <v/>
      </c>
    </row>
    <row r="38">
      <c r="A38">
        <f>IF(Criterios!B15="","",Criterios!B15)</f>
        <v/>
      </c>
      <c r="B38">
        <f>IF(Criterios!B15="","",Criterios!D15/100)</f>
        <v/>
      </c>
      <c r="C38">
        <f>IF(Criterios!B15="","",'Necesitas_Mejorar')</f>
        <v/>
      </c>
      <c r="D38">
        <f>IF(Criterios!B15="","",Criterios!F15)</f>
        <v/>
      </c>
      <c r="E38">
        <f>IF(Criterios!B15="","",25)</f>
        <v/>
      </c>
      <c r="F38">
        <f>IF(Criterios!B15="","",Criterios!A15)</f>
        <v/>
      </c>
      <c r="G38">
        <f>IF(Criterios!B15="","",15)</f>
        <v/>
      </c>
    </row>
    <row r="39">
      <c r="A39">
        <f>IF(Criterios!B15="","",Criterios!B15)</f>
        <v/>
      </c>
      <c r="B39">
        <f>IF(Criterios!B15="","",Criterios!D15/100)</f>
        <v/>
      </c>
      <c r="C39">
        <f>IF(Criterios!B15="","",'Bueno')</f>
        <v/>
      </c>
      <c r="D39">
        <f>IF(Criterios!B15="","",Criterios!G15)</f>
        <v/>
      </c>
      <c r="E39">
        <f>IF(Criterios!B15="","",50)</f>
        <v/>
      </c>
      <c r="F39">
        <f>IF(Criterios!B15="","",Criterios!A15)</f>
        <v/>
      </c>
      <c r="G39">
        <f>IF(Criterios!B15="","",15)</f>
        <v/>
      </c>
    </row>
    <row r="40">
      <c r="A40">
        <f>IF(Criterios!B15="","",Criterios!B15)</f>
        <v/>
      </c>
      <c r="B40">
        <f>IF(Criterios!B15="","",Criterios!D15/100)</f>
        <v/>
      </c>
      <c r="C40">
        <f>IF(Criterios!B15="","",'Satisfactorio')</f>
        <v/>
      </c>
      <c r="D40">
        <f>IF(Criterios!B15="","",Criterios!H15)</f>
        <v/>
      </c>
      <c r="E40">
        <f>IF(Criterios!B15="","",75)</f>
        <v/>
      </c>
      <c r="F40">
        <f>IF(Criterios!B15="","",Criterios!A15)</f>
        <v/>
      </c>
      <c r="G40">
        <f>IF(Criterios!B15="","",15)</f>
        <v/>
      </c>
    </row>
    <row r="41">
      <c r="A41">
        <f>IF(Criterios!B15="","",Criterios!B15)</f>
        <v/>
      </c>
      <c r="B41">
        <f>IF(Criterios!B15="","",Criterios!D15/100)</f>
        <v/>
      </c>
      <c r="C41">
        <f>IF(Criterios!B15="","",'Excelente')</f>
        <v/>
      </c>
      <c r="D41">
        <f>IF(Criterios!B15="","",Criterios!I15)</f>
        <v/>
      </c>
      <c r="E41">
        <f>IF(Criterios!B15="","",100)</f>
        <v/>
      </c>
      <c r="F41">
        <f>IF(Criterios!B15="","",Criterios!A15)</f>
        <v/>
      </c>
      <c r="G41">
        <f>IF(Criterios!B15="","",15)</f>
        <v/>
      </c>
    </row>
    <row r="42">
      <c r="A42">
        <f>IF(Criterios!B16="","",Criterios!B16)</f>
        <v/>
      </c>
      <c r="B42">
        <f>IF(Criterios!B16="","",Criterios!D16/100)</f>
        <v/>
      </c>
      <c r="C42">
        <f>IF(Criterios!B16="","",'Insatisfactorio')</f>
        <v/>
      </c>
      <c r="D42">
        <f>IF(Criterios!B16="","",Criterios!E16)</f>
        <v/>
      </c>
      <c r="E42">
        <f>IF(Criterios!B16="","",0)</f>
        <v/>
      </c>
      <c r="F42">
        <f>IF(Criterios!B16="","",Criterios!A16)</f>
        <v/>
      </c>
      <c r="G42">
        <f>IF(Criterios!B16="","",16)</f>
        <v/>
      </c>
    </row>
    <row r="43">
      <c r="A43">
        <f>IF(Criterios!B16="","",Criterios!B16)</f>
        <v/>
      </c>
      <c r="B43">
        <f>IF(Criterios!B16="","",Criterios!D16/100)</f>
        <v/>
      </c>
      <c r="C43">
        <f>IF(Criterios!B16="","",'Necesitas_Mejorar')</f>
        <v/>
      </c>
      <c r="D43">
        <f>IF(Criterios!B16="","",Criterios!F16)</f>
        <v/>
      </c>
      <c r="E43">
        <f>IF(Criterios!B16="","",25)</f>
        <v/>
      </c>
      <c r="F43">
        <f>IF(Criterios!B16="","",Criterios!A16)</f>
        <v/>
      </c>
      <c r="G43">
        <f>IF(Criterios!B16="","",16)</f>
        <v/>
      </c>
    </row>
    <row r="44">
      <c r="A44">
        <f>IF(Criterios!B16="","",Criterios!B16)</f>
        <v/>
      </c>
      <c r="B44">
        <f>IF(Criterios!B16="","",Criterios!D16/100)</f>
        <v/>
      </c>
      <c r="C44">
        <f>IF(Criterios!B16="","",'Bueno')</f>
        <v/>
      </c>
      <c r="D44">
        <f>IF(Criterios!B16="","",Criterios!G16)</f>
        <v/>
      </c>
      <c r="E44">
        <f>IF(Criterios!B16="","",50)</f>
        <v/>
      </c>
      <c r="F44">
        <f>IF(Criterios!B16="","",Criterios!A16)</f>
        <v/>
      </c>
      <c r="G44">
        <f>IF(Criterios!B16="","",16)</f>
        <v/>
      </c>
    </row>
    <row r="45">
      <c r="A45">
        <f>IF(Criterios!B16="","",Criterios!B16)</f>
        <v/>
      </c>
      <c r="B45">
        <f>IF(Criterios!B16="","",Criterios!D16/100)</f>
        <v/>
      </c>
      <c r="C45">
        <f>IF(Criterios!B16="","",'Satisfactorio')</f>
        <v/>
      </c>
      <c r="D45">
        <f>IF(Criterios!B16="","",Criterios!H16)</f>
        <v/>
      </c>
      <c r="E45">
        <f>IF(Criterios!B16="","",75)</f>
        <v/>
      </c>
      <c r="F45">
        <f>IF(Criterios!B16="","",Criterios!A16)</f>
        <v/>
      </c>
      <c r="G45">
        <f>IF(Criterios!B16="","",16)</f>
        <v/>
      </c>
    </row>
    <row r="46">
      <c r="A46">
        <f>IF(Criterios!B16="","",Criterios!B16)</f>
        <v/>
      </c>
      <c r="B46">
        <f>IF(Criterios!B16="","",Criterios!D16/100)</f>
        <v/>
      </c>
      <c r="C46">
        <f>IF(Criterios!B16="","",'Excelente')</f>
        <v/>
      </c>
      <c r="D46">
        <f>IF(Criterios!B16="","",Criterios!I16)</f>
        <v/>
      </c>
      <c r="E46">
        <f>IF(Criterios!B16="","",100)</f>
        <v/>
      </c>
      <c r="F46">
        <f>IF(Criterios!B16="","",Criterios!A16)</f>
        <v/>
      </c>
      <c r="G46">
        <f>IF(Criterios!B16="","",16)</f>
        <v/>
      </c>
    </row>
    <row r="47">
      <c r="A47">
        <f>IF(Criterios!B17="","",Criterios!B17)</f>
        <v/>
      </c>
      <c r="B47">
        <f>IF(Criterios!B17="","",Criterios!D17/100)</f>
        <v/>
      </c>
      <c r="C47">
        <f>IF(Criterios!B17="","",'Insatisfactorio')</f>
        <v/>
      </c>
      <c r="D47">
        <f>IF(Criterios!B17="","",Criterios!E17)</f>
        <v/>
      </c>
      <c r="E47">
        <f>IF(Criterios!B17="","",0)</f>
        <v/>
      </c>
      <c r="F47">
        <f>IF(Criterios!B17="","",Criterios!A17)</f>
        <v/>
      </c>
      <c r="G47">
        <f>IF(Criterios!B17="","",17)</f>
        <v/>
      </c>
    </row>
    <row r="48">
      <c r="A48">
        <f>IF(Criterios!B17="","",Criterios!B17)</f>
        <v/>
      </c>
      <c r="B48">
        <f>IF(Criterios!B17="","",Criterios!D17/100)</f>
        <v/>
      </c>
      <c r="C48">
        <f>IF(Criterios!B17="","",'Necesitas_Mejorar')</f>
        <v/>
      </c>
      <c r="D48">
        <f>IF(Criterios!B17="","",Criterios!F17)</f>
        <v/>
      </c>
      <c r="E48">
        <f>IF(Criterios!B17="","",25)</f>
        <v/>
      </c>
      <c r="F48">
        <f>IF(Criterios!B17="","",Criterios!A17)</f>
        <v/>
      </c>
      <c r="G48">
        <f>IF(Criterios!B17="","",17)</f>
        <v/>
      </c>
    </row>
    <row r="49">
      <c r="A49">
        <f>IF(Criterios!B17="","",Criterios!B17)</f>
        <v/>
      </c>
      <c r="B49">
        <f>IF(Criterios!B17="","",Criterios!D17/100)</f>
        <v/>
      </c>
      <c r="C49">
        <f>IF(Criterios!B17="","",'Bueno')</f>
        <v/>
      </c>
      <c r="D49">
        <f>IF(Criterios!B17="","",Criterios!G17)</f>
        <v/>
      </c>
      <c r="E49">
        <f>IF(Criterios!B17="","",50)</f>
        <v/>
      </c>
      <c r="F49">
        <f>IF(Criterios!B17="","",Criterios!A17)</f>
        <v/>
      </c>
      <c r="G49">
        <f>IF(Criterios!B17="","",17)</f>
        <v/>
      </c>
    </row>
    <row r="50">
      <c r="A50">
        <f>IF(Criterios!B17="","",Criterios!B17)</f>
        <v/>
      </c>
      <c r="B50">
        <f>IF(Criterios!B17="","",Criterios!D17/100)</f>
        <v/>
      </c>
      <c r="C50">
        <f>IF(Criterios!B17="","",'Satisfactorio')</f>
        <v/>
      </c>
      <c r="D50">
        <f>IF(Criterios!B17="","",Criterios!H17)</f>
        <v/>
      </c>
      <c r="E50">
        <f>IF(Criterios!B17="","",75)</f>
        <v/>
      </c>
      <c r="F50">
        <f>IF(Criterios!B17="","",Criterios!A17)</f>
        <v/>
      </c>
      <c r="G50">
        <f>IF(Criterios!B17="","",17)</f>
        <v/>
      </c>
    </row>
    <row r="51">
      <c r="A51">
        <f>IF(Criterios!B17="","",Criterios!B17)</f>
        <v/>
      </c>
      <c r="B51">
        <f>IF(Criterios!B17="","",Criterios!D17/100)</f>
        <v/>
      </c>
      <c r="C51">
        <f>IF(Criterios!B17="","",'Excelente')</f>
        <v/>
      </c>
      <c r="D51">
        <f>IF(Criterios!B17="","",Criterios!I17)</f>
        <v/>
      </c>
      <c r="E51">
        <f>IF(Criterios!B17="","",100)</f>
        <v/>
      </c>
      <c r="F51">
        <f>IF(Criterios!B17="","",Criterios!A17)</f>
        <v/>
      </c>
      <c r="G51">
        <f>IF(Criterios!B17="","",17)</f>
        <v/>
      </c>
    </row>
    <row r="52">
      <c r="A52">
        <f>IF(Criterios!B18="","",Criterios!B18)</f>
        <v/>
      </c>
      <c r="B52">
        <f>IF(Criterios!B18="","",Criterios!D18/100)</f>
        <v/>
      </c>
      <c r="C52">
        <f>IF(Criterios!B18="","",'Insatisfactorio')</f>
        <v/>
      </c>
      <c r="D52">
        <f>IF(Criterios!B18="","",Criterios!E18)</f>
        <v/>
      </c>
      <c r="E52">
        <f>IF(Criterios!B18="","",0)</f>
        <v/>
      </c>
      <c r="F52">
        <f>IF(Criterios!B18="","",Criterios!A18)</f>
        <v/>
      </c>
      <c r="G52">
        <f>IF(Criterios!B18="","",18)</f>
        <v/>
      </c>
    </row>
    <row r="53">
      <c r="A53">
        <f>IF(Criterios!B18="","",Criterios!B18)</f>
        <v/>
      </c>
      <c r="B53">
        <f>IF(Criterios!B18="","",Criterios!D18/100)</f>
        <v/>
      </c>
      <c r="C53">
        <f>IF(Criterios!B18="","",'Necesitas_Mejorar')</f>
        <v/>
      </c>
      <c r="D53">
        <f>IF(Criterios!B18="","",Criterios!F18)</f>
        <v/>
      </c>
      <c r="E53">
        <f>IF(Criterios!B18="","",25)</f>
        <v/>
      </c>
      <c r="F53">
        <f>IF(Criterios!B18="","",Criterios!A18)</f>
        <v/>
      </c>
      <c r="G53">
        <f>IF(Criterios!B18="","",18)</f>
        <v/>
      </c>
    </row>
    <row r="54">
      <c r="A54">
        <f>IF(Criterios!B18="","",Criterios!B18)</f>
        <v/>
      </c>
      <c r="B54">
        <f>IF(Criterios!B18="","",Criterios!D18/100)</f>
        <v/>
      </c>
      <c r="C54">
        <f>IF(Criterios!B18="","",'Bueno')</f>
        <v/>
      </c>
      <c r="D54">
        <f>IF(Criterios!B18="","",Criterios!G18)</f>
        <v/>
      </c>
      <c r="E54">
        <f>IF(Criterios!B18="","",50)</f>
        <v/>
      </c>
      <c r="F54">
        <f>IF(Criterios!B18="","",Criterios!A18)</f>
        <v/>
      </c>
      <c r="G54">
        <f>IF(Criterios!B18="","",18)</f>
        <v/>
      </c>
    </row>
    <row r="55">
      <c r="A55">
        <f>IF(Criterios!B18="","",Criterios!B18)</f>
        <v/>
      </c>
      <c r="B55">
        <f>IF(Criterios!B18="","",Criterios!D18/100)</f>
        <v/>
      </c>
      <c r="C55">
        <f>IF(Criterios!B18="","",'Satisfactorio')</f>
        <v/>
      </c>
      <c r="D55">
        <f>IF(Criterios!B18="","",Criterios!H18)</f>
        <v/>
      </c>
      <c r="E55">
        <f>IF(Criterios!B18="","",75)</f>
        <v/>
      </c>
      <c r="F55">
        <f>IF(Criterios!B18="","",Criterios!A18)</f>
        <v/>
      </c>
      <c r="G55">
        <f>IF(Criterios!B18="","",18)</f>
        <v/>
      </c>
    </row>
    <row r="56">
      <c r="A56">
        <f>IF(Criterios!B18="","",Criterios!B18)</f>
        <v/>
      </c>
      <c r="B56">
        <f>IF(Criterios!B18="","",Criterios!D18/100)</f>
        <v/>
      </c>
      <c r="C56">
        <f>IF(Criterios!B18="","",'Excelente')</f>
        <v/>
      </c>
      <c r="D56">
        <f>IF(Criterios!B18="","",Criterios!I18)</f>
        <v/>
      </c>
      <c r="E56">
        <f>IF(Criterios!B18="","",100)</f>
        <v/>
      </c>
      <c r="F56">
        <f>IF(Criterios!B18="","",Criterios!A18)</f>
        <v/>
      </c>
      <c r="G56">
        <f>IF(Criterios!B18="","",18)</f>
        <v/>
      </c>
    </row>
    <row r="57">
      <c r="A57">
        <f>IF(Criterios!B19="","",Criterios!B19)</f>
        <v/>
      </c>
      <c r="B57">
        <f>IF(Criterios!B19="","",Criterios!D19/100)</f>
        <v/>
      </c>
      <c r="C57">
        <f>IF(Criterios!B19="","",'Insatisfactorio')</f>
        <v/>
      </c>
      <c r="D57">
        <f>IF(Criterios!B19="","",Criterios!E19)</f>
        <v/>
      </c>
      <c r="E57">
        <f>IF(Criterios!B19="","",0)</f>
        <v/>
      </c>
      <c r="F57">
        <f>IF(Criterios!B19="","",Criterios!A19)</f>
        <v/>
      </c>
      <c r="G57">
        <f>IF(Criterios!B19="","",19)</f>
        <v/>
      </c>
    </row>
    <row r="58">
      <c r="A58">
        <f>IF(Criterios!B19="","",Criterios!B19)</f>
        <v/>
      </c>
      <c r="B58">
        <f>IF(Criterios!B19="","",Criterios!D19/100)</f>
        <v/>
      </c>
      <c r="C58">
        <f>IF(Criterios!B19="","",'Necesitas_Mejorar')</f>
        <v/>
      </c>
      <c r="D58">
        <f>IF(Criterios!B19="","",Criterios!F19)</f>
        <v/>
      </c>
      <c r="E58">
        <f>IF(Criterios!B19="","",25)</f>
        <v/>
      </c>
      <c r="F58">
        <f>IF(Criterios!B19="","",Criterios!A19)</f>
        <v/>
      </c>
      <c r="G58">
        <f>IF(Criterios!B19="","",19)</f>
        <v/>
      </c>
    </row>
    <row r="59">
      <c r="A59">
        <f>IF(Criterios!B19="","",Criterios!B19)</f>
        <v/>
      </c>
      <c r="B59">
        <f>IF(Criterios!B19="","",Criterios!D19/100)</f>
        <v/>
      </c>
      <c r="C59">
        <f>IF(Criterios!B19="","",'Bueno')</f>
        <v/>
      </c>
      <c r="D59">
        <f>IF(Criterios!B19="","",Criterios!G19)</f>
        <v/>
      </c>
      <c r="E59">
        <f>IF(Criterios!B19="","",50)</f>
        <v/>
      </c>
      <c r="F59">
        <f>IF(Criterios!B19="","",Criterios!A19)</f>
        <v/>
      </c>
      <c r="G59">
        <f>IF(Criterios!B19="","",19)</f>
        <v/>
      </c>
    </row>
    <row r="60">
      <c r="A60">
        <f>IF(Criterios!B19="","",Criterios!B19)</f>
        <v/>
      </c>
      <c r="B60">
        <f>IF(Criterios!B19="","",Criterios!D19/100)</f>
        <v/>
      </c>
      <c r="C60">
        <f>IF(Criterios!B19="","",'Satisfactorio')</f>
        <v/>
      </c>
      <c r="D60">
        <f>IF(Criterios!B19="","",Criterios!H19)</f>
        <v/>
      </c>
      <c r="E60">
        <f>IF(Criterios!B19="","",75)</f>
        <v/>
      </c>
      <c r="F60">
        <f>IF(Criterios!B19="","",Criterios!A19)</f>
        <v/>
      </c>
      <c r="G60">
        <f>IF(Criterios!B19="","",19)</f>
        <v/>
      </c>
    </row>
    <row r="61">
      <c r="A61">
        <f>IF(Criterios!B19="","",Criterios!B19)</f>
        <v/>
      </c>
      <c r="B61">
        <f>IF(Criterios!B19="","",Criterios!D19/100)</f>
        <v/>
      </c>
      <c r="C61">
        <f>IF(Criterios!B19="","",'Excelente')</f>
        <v/>
      </c>
      <c r="D61">
        <f>IF(Criterios!B19="","",Criterios!I19)</f>
        <v/>
      </c>
      <c r="E61">
        <f>IF(Criterios!B19="","",100)</f>
        <v/>
      </c>
      <c r="F61">
        <f>IF(Criterios!B19="","",Criterios!A19)</f>
        <v/>
      </c>
      <c r="G61">
        <f>IF(Criterios!B19="","",19)</f>
        <v/>
      </c>
    </row>
    <row r="62">
      <c r="A62">
        <f>IF(Criterios!B20="","",Criterios!B20)</f>
        <v/>
      </c>
      <c r="B62">
        <f>IF(Criterios!B20="","",Criterios!D20/100)</f>
        <v/>
      </c>
      <c r="C62">
        <f>IF(Criterios!B20="","",'Insatisfactorio')</f>
        <v/>
      </c>
      <c r="D62">
        <f>IF(Criterios!B20="","",Criterios!E20)</f>
        <v/>
      </c>
      <c r="E62">
        <f>IF(Criterios!B20="","",0)</f>
        <v/>
      </c>
      <c r="F62">
        <f>IF(Criterios!B20="","",Criterios!A20)</f>
        <v/>
      </c>
      <c r="G62">
        <f>IF(Criterios!B20="","",20)</f>
        <v/>
      </c>
    </row>
    <row r="63">
      <c r="A63">
        <f>IF(Criterios!B20="","",Criterios!B20)</f>
        <v/>
      </c>
      <c r="B63">
        <f>IF(Criterios!B20="","",Criterios!D20/100)</f>
        <v/>
      </c>
      <c r="C63">
        <f>IF(Criterios!B20="","",'Necesitas_Mejorar')</f>
        <v/>
      </c>
      <c r="D63">
        <f>IF(Criterios!B20="","",Criterios!F20)</f>
        <v/>
      </c>
      <c r="E63">
        <f>IF(Criterios!B20="","",25)</f>
        <v/>
      </c>
      <c r="F63">
        <f>IF(Criterios!B20="","",Criterios!A20)</f>
        <v/>
      </c>
      <c r="G63">
        <f>IF(Criterios!B20="","",20)</f>
        <v/>
      </c>
    </row>
    <row r="64">
      <c r="A64">
        <f>IF(Criterios!B20="","",Criterios!B20)</f>
        <v/>
      </c>
      <c r="B64">
        <f>IF(Criterios!B20="","",Criterios!D20/100)</f>
        <v/>
      </c>
      <c r="C64">
        <f>IF(Criterios!B20="","",'Bueno')</f>
        <v/>
      </c>
      <c r="D64">
        <f>IF(Criterios!B20="","",Criterios!G20)</f>
        <v/>
      </c>
      <c r="E64">
        <f>IF(Criterios!B20="","",50)</f>
        <v/>
      </c>
      <c r="F64">
        <f>IF(Criterios!B20="","",Criterios!A20)</f>
        <v/>
      </c>
      <c r="G64">
        <f>IF(Criterios!B20="","",20)</f>
        <v/>
      </c>
    </row>
    <row r="65">
      <c r="A65">
        <f>IF(Criterios!B20="","",Criterios!B20)</f>
        <v/>
      </c>
      <c r="B65">
        <f>IF(Criterios!B20="","",Criterios!D20/100)</f>
        <v/>
      </c>
      <c r="C65">
        <f>IF(Criterios!B20="","",'Satisfactorio')</f>
        <v/>
      </c>
      <c r="D65">
        <f>IF(Criterios!B20="","",Criterios!H20)</f>
        <v/>
      </c>
      <c r="E65">
        <f>IF(Criterios!B20="","",75)</f>
        <v/>
      </c>
      <c r="F65">
        <f>IF(Criterios!B20="","",Criterios!A20)</f>
        <v/>
      </c>
      <c r="G65">
        <f>IF(Criterios!B20="","",20)</f>
        <v/>
      </c>
    </row>
    <row r="66">
      <c r="A66">
        <f>IF(Criterios!B20="","",Criterios!B20)</f>
        <v/>
      </c>
      <c r="B66">
        <f>IF(Criterios!B20="","",Criterios!D20/100)</f>
        <v/>
      </c>
      <c r="C66">
        <f>IF(Criterios!B20="","",'Excelente')</f>
        <v/>
      </c>
      <c r="D66">
        <f>IF(Criterios!B20="","",Criterios!I20)</f>
        <v/>
      </c>
      <c r="E66">
        <f>IF(Criterios!B20="","",100)</f>
        <v/>
      </c>
      <c r="F66">
        <f>IF(Criterios!B20="","",Criterios!A20)</f>
        <v/>
      </c>
      <c r="G66">
        <f>IF(Criterios!B20="","",20)</f>
        <v/>
      </c>
    </row>
    <row r="67">
      <c r="A67">
        <f>IF(Criterios!B21="","",Criterios!B21)</f>
        <v/>
      </c>
      <c r="B67">
        <f>IF(Criterios!B21="","",Criterios!D21/100)</f>
        <v/>
      </c>
      <c r="C67">
        <f>IF(Criterios!B21="","",'Insatisfactorio')</f>
        <v/>
      </c>
      <c r="D67">
        <f>IF(Criterios!B21="","",Criterios!E21)</f>
        <v/>
      </c>
      <c r="E67">
        <f>IF(Criterios!B21="","",0)</f>
        <v/>
      </c>
      <c r="F67">
        <f>IF(Criterios!B21="","",Criterios!A21)</f>
        <v/>
      </c>
      <c r="G67">
        <f>IF(Criterios!B21="","",21)</f>
        <v/>
      </c>
    </row>
    <row r="68">
      <c r="A68">
        <f>IF(Criterios!B21="","",Criterios!B21)</f>
        <v/>
      </c>
      <c r="B68">
        <f>IF(Criterios!B21="","",Criterios!D21/100)</f>
        <v/>
      </c>
      <c r="C68">
        <f>IF(Criterios!B21="","",'Necesitas_Mejorar')</f>
        <v/>
      </c>
      <c r="D68">
        <f>IF(Criterios!B21="","",Criterios!F21)</f>
        <v/>
      </c>
      <c r="E68">
        <f>IF(Criterios!B21="","",25)</f>
        <v/>
      </c>
      <c r="F68">
        <f>IF(Criterios!B21="","",Criterios!A21)</f>
        <v/>
      </c>
      <c r="G68">
        <f>IF(Criterios!B21="","",21)</f>
        <v/>
      </c>
    </row>
    <row r="69">
      <c r="A69">
        <f>IF(Criterios!B21="","",Criterios!B21)</f>
        <v/>
      </c>
      <c r="B69">
        <f>IF(Criterios!B21="","",Criterios!D21/100)</f>
        <v/>
      </c>
      <c r="C69">
        <f>IF(Criterios!B21="","",'Bueno')</f>
        <v/>
      </c>
      <c r="D69">
        <f>IF(Criterios!B21="","",Criterios!G21)</f>
        <v/>
      </c>
      <c r="E69">
        <f>IF(Criterios!B21="","",50)</f>
        <v/>
      </c>
      <c r="F69">
        <f>IF(Criterios!B21="","",Criterios!A21)</f>
        <v/>
      </c>
      <c r="G69">
        <f>IF(Criterios!B21="","",21)</f>
        <v/>
      </c>
    </row>
    <row r="70">
      <c r="A70">
        <f>IF(Criterios!B21="","",Criterios!B21)</f>
        <v/>
      </c>
      <c r="B70">
        <f>IF(Criterios!B21="","",Criterios!D21/100)</f>
        <v/>
      </c>
      <c r="C70">
        <f>IF(Criterios!B21="","",'Satisfactorio')</f>
        <v/>
      </c>
      <c r="D70">
        <f>IF(Criterios!B21="","",Criterios!H21)</f>
        <v/>
      </c>
      <c r="E70">
        <f>IF(Criterios!B21="","",75)</f>
        <v/>
      </c>
      <c r="F70">
        <f>IF(Criterios!B21="","",Criterios!A21)</f>
        <v/>
      </c>
      <c r="G70">
        <f>IF(Criterios!B21="","",21)</f>
        <v/>
      </c>
    </row>
    <row r="71">
      <c r="A71">
        <f>IF(Criterios!B21="","",Criterios!B21)</f>
        <v/>
      </c>
      <c r="B71">
        <f>IF(Criterios!B21="","",Criterios!D21/100)</f>
        <v/>
      </c>
      <c r="C71">
        <f>IF(Criterios!B21="","",'Excelente')</f>
        <v/>
      </c>
      <c r="D71">
        <f>IF(Criterios!B21="","",Criterios!I21)</f>
        <v/>
      </c>
      <c r="E71">
        <f>IF(Criterios!B21="","",100)</f>
        <v/>
      </c>
      <c r="F71">
        <f>IF(Criterios!B21="","",Criterios!A21)</f>
        <v/>
      </c>
      <c r="G71">
        <f>IF(Criterios!B21="","",21)</f>
        <v/>
      </c>
    </row>
    <row r="72">
      <c r="A72">
        <f>IF(Criterios!B22="","",Criterios!B22)</f>
        <v/>
      </c>
      <c r="B72">
        <f>IF(Criterios!B22="","",Criterios!D22/100)</f>
        <v/>
      </c>
      <c r="C72">
        <f>IF(Criterios!B22="","",'Insatisfactorio')</f>
        <v/>
      </c>
      <c r="D72">
        <f>IF(Criterios!B22="","",Criterios!E22)</f>
        <v/>
      </c>
      <c r="E72">
        <f>IF(Criterios!B22="","",0)</f>
        <v/>
      </c>
      <c r="F72">
        <f>IF(Criterios!B22="","",Criterios!A22)</f>
        <v/>
      </c>
      <c r="G72">
        <f>IF(Criterios!B22="","",22)</f>
        <v/>
      </c>
    </row>
    <row r="73">
      <c r="A73">
        <f>IF(Criterios!B22="","",Criterios!B22)</f>
        <v/>
      </c>
      <c r="B73">
        <f>IF(Criterios!B22="","",Criterios!D22/100)</f>
        <v/>
      </c>
      <c r="C73">
        <f>IF(Criterios!B22="","",'Necesitas_Mejorar')</f>
        <v/>
      </c>
      <c r="D73">
        <f>IF(Criterios!B22="","",Criterios!F22)</f>
        <v/>
      </c>
      <c r="E73">
        <f>IF(Criterios!B22="","",25)</f>
        <v/>
      </c>
      <c r="F73">
        <f>IF(Criterios!B22="","",Criterios!A22)</f>
        <v/>
      </c>
      <c r="G73">
        <f>IF(Criterios!B22="","",22)</f>
        <v/>
      </c>
    </row>
    <row r="74">
      <c r="A74">
        <f>IF(Criterios!B22="","",Criterios!B22)</f>
        <v/>
      </c>
      <c r="B74">
        <f>IF(Criterios!B22="","",Criterios!D22/100)</f>
        <v/>
      </c>
      <c r="C74">
        <f>IF(Criterios!B22="","",'Bueno')</f>
        <v/>
      </c>
      <c r="D74">
        <f>IF(Criterios!B22="","",Criterios!G22)</f>
        <v/>
      </c>
      <c r="E74">
        <f>IF(Criterios!B22="","",50)</f>
        <v/>
      </c>
      <c r="F74">
        <f>IF(Criterios!B22="","",Criterios!A22)</f>
        <v/>
      </c>
      <c r="G74">
        <f>IF(Criterios!B22="","",22)</f>
        <v/>
      </c>
    </row>
    <row r="75">
      <c r="A75">
        <f>IF(Criterios!B22="","",Criterios!B22)</f>
        <v/>
      </c>
      <c r="B75">
        <f>IF(Criterios!B22="","",Criterios!D22/100)</f>
        <v/>
      </c>
      <c r="C75">
        <f>IF(Criterios!B22="","",'Satisfactorio')</f>
        <v/>
      </c>
      <c r="D75">
        <f>IF(Criterios!B22="","",Criterios!H22)</f>
        <v/>
      </c>
      <c r="E75">
        <f>IF(Criterios!B22="","",75)</f>
        <v/>
      </c>
      <c r="F75">
        <f>IF(Criterios!B22="","",Criterios!A22)</f>
        <v/>
      </c>
      <c r="G75">
        <f>IF(Criterios!B22="","",22)</f>
        <v/>
      </c>
    </row>
    <row r="76">
      <c r="A76">
        <f>IF(Criterios!B22="","",Criterios!B22)</f>
        <v/>
      </c>
      <c r="B76">
        <f>IF(Criterios!B22="","",Criterios!D22/100)</f>
        <v/>
      </c>
      <c r="C76">
        <f>IF(Criterios!B22="","",'Excelente')</f>
        <v/>
      </c>
      <c r="D76">
        <f>IF(Criterios!B22="","",Criterios!I22)</f>
        <v/>
      </c>
      <c r="E76">
        <f>IF(Criterios!B22="","",100)</f>
        <v/>
      </c>
      <c r="F76">
        <f>IF(Criterios!B22="","",Criterios!A22)</f>
        <v/>
      </c>
      <c r="G76">
        <f>IF(Criterios!B22="","",22)</f>
        <v/>
      </c>
    </row>
    <row r="77">
      <c r="A77">
        <f>IF(Criterios!B23="","",Criterios!B23)</f>
        <v/>
      </c>
      <c r="B77">
        <f>IF(Criterios!B23="","",Criterios!D23/100)</f>
        <v/>
      </c>
      <c r="C77">
        <f>IF(Criterios!B23="","",'Insatisfactorio')</f>
        <v/>
      </c>
      <c r="D77">
        <f>IF(Criterios!B23="","",Criterios!E23)</f>
        <v/>
      </c>
      <c r="E77">
        <f>IF(Criterios!B23="","",0)</f>
        <v/>
      </c>
      <c r="F77">
        <f>IF(Criterios!B23="","",Criterios!A23)</f>
        <v/>
      </c>
      <c r="G77">
        <f>IF(Criterios!B23="","",23)</f>
        <v/>
      </c>
    </row>
    <row r="78">
      <c r="A78">
        <f>IF(Criterios!B23="","",Criterios!B23)</f>
        <v/>
      </c>
      <c r="B78">
        <f>IF(Criterios!B23="","",Criterios!D23/100)</f>
        <v/>
      </c>
      <c r="C78">
        <f>IF(Criterios!B23="","",'Necesitas_Mejorar')</f>
        <v/>
      </c>
      <c r="D78">
        <f>IF(Criterios!B23="","",Criterios!F23)</f>
        <v/>
      </c>
      <c r="E78">
        <f>IF(Criterios!B23="","",25)</f>
        <v/>
      </c>
      <c r="F78">
        <f>IF(Criterios!B23="","",Criterios!A23)</f>
        <v/>
      </c>
      <c r="G78">
        <f>IF(Criterios!B23="","",23)</f>
        <v/>
      </c>
    </row>
    <row r="79">
      <c r="A79">
        <f>IF(Criterios!B23="","",Criterios!B23)</f>
        <v/>
      </c>
      <c r="B79">
        <f>IF(Criterios!B23="","",Criterios!D23/100)</f>
        <v/>
      </c>
      <c r="C79">
        <f>IF(Criterios!B23="","",'Bueno')</f>
        <v/>
      </c>
      <c r="D79">
        <f>IF(Criterios!B23="","",Criterios!G23)</f>
        <v/>
      </c>
      <c r="E79">
        <f>IF(Criterios!B23="","",50)</f>
        <v/>
      </c>
      <c r="F79">
        <f>IF(Criterios!B23="","",Criterios!A23)</f>
        <v/>
      </c>
      <c r="G79">
        <f>IF(Criterios!B23="","",23)</f>
        <v/>
      </c>
    </row>
    <row r="80">
      <c r="A80">
        <f>IF(Criterios!B23="","",Criterios!B23)</f>
        <v/>
      </c>
      <c r="B80">
        <f>IF(Criterios!B23="","",Criterios!D23/100)</f>
        <v/>
      </c>
      <c r="C80">
        <f>IF(Criterios!B23="","",'Satisfactorio')</f>
        <v/>
      </c>
      <c r="D80">
        <f>IF(Criterios!B23="","",Criterios!H23)</f>
        <v/>
      </c>
      <c r="E80">
        <f>IF(Criterios!B23="","",75)</f>
        <v/>
      </c>
      <c r="F80">
        <f>IF(Criterios!B23="","",Criterios!A23)</f>
        <v/>
      </c>
      <c r="G80">
        <f>IF(Criterios!B23="","",23)</f>
        <v/>
      </c>
    </row>
    <row r="81">
      <c r="A81">
        <f>IF(Criterios!B23="","",Criterios!B23)</f>
        <v/>
      </c>
      <c r="B81">
        <f>IF(Criterios!B23="","",Criterios!D23/100)</f>
        <v/>
      </c>
      <c r="C81">
        <f>IF(Criterios!B23="","",'Excelente')</f>
        <v/>
      </c>
      <c r="D81">
        <f>IF(Criterios!B23="","",Criterios!I23)</f>
        <v/>
      </c>
      <c r="E81">
        <f>IF(Criterios!B23="","",100)</f>
        <v/>
      </c>
      <c r="F81">
        <f>IF(Criterios!B23="","",Criterios!A23)</f>
        <v/>
      </c>
      <c r="G81">
        <f>IF(Criterios!B23="","",23)</f>
        <v/>
      </c>
    </row>
    <row r="82">
      <c r="A82">
        <f>IF(Criterios!B24="","",Criterios!B24)</f>
        <v/>
      </c>
      <c r="B82">
        <f>IF(Criterios!B24="","",Criterios!D24/100)</f>
        <v/>
      </c>
      <c r="C82">
        <f>IF(Criterios!B24="","",'Insatisfactorio')</f>
        <v/>
      </c>
      <c r="D82">
        <f>IF(Criterios!B24="","",Criterios!E24)</f>
        <v/>
      </c>
      <c r="E82">
        <f>IF(Criterios!B24="","",0)</f>
        <v/>
      </c>
      <c r="F82">
        <f>IF(Criterios!B24="","",Criterios!A24)</f>
        <v/>
      </c>
      <c r="G82">
        <f>IF(Criterios!B24="","",24)</f>
        <v/>
      </c>
    </row>
    <row r="83">
      <c r="A83">
        <f>IF(Criterios!B24="","",Criterios!B24)</f>
        <v/>
      </c>
      <c r="B83">
        <f>IF(Criterios!B24="","",Criterios!D24/100)</f>
        <v/>
      </c>
      <c r="C83">
        <f>IF(Criterios!B24="","",'Necesitas_Mejorar')</f>
        <v/>
      </c>
      <c r="D83">
        <f>IF(Criterios!B24="","",Criterios!F24)</f>
        <v/>
      </c>
      <c r="E83">
        <f>IF(Criterios!B24="","",25)</f>
        <v/>
      </c>
      <c r="F83">
        <f>IF(Criterios!B24="","",Criterios!A24)</f>
        <v/>
      </c>
      <c r="G83">
        <f>IF(Criterios!B24="","",24)</f>
        <v/>
      </c>
    </row>
    <row r="84">
      <c r="A84">
        <f>IF(Criterios!B24="","",Criterios!B24)</f>
        <v/>
      </c>
      <c r="B84">
        <f>IF(Criterios!B24="","",Criterios!D24/100)</f>
        <v/>
      </c>
      <c r="C84">
        <f>IF(Criterios!B24="","",'Bueno')</f>
        <v/>
      </c>
      <c r="D84">
        <f>IF(Criterios!B24="","",Criterios!G24)</f>
        <v/>
      </c>
      <c r="E84">
        <f>IF(Criterios!B24="","",50)</f>
        <v/>
      </c>
      <c r="F84">
        <f>IF(Criterios!B24="","",Criterios!A24)</f>
        <v/>
      </c>
      <c r="G84">
        <f>IF(Criterios!B24="","",24)</f>
        <v/>
      </c>
    </row>
    <row r="85">
      <c r="A85">
        <f>IF(Criterios!B24="","",Criterios!B24)</f>
        <v/>
      </c>
      <c r="B85">
        <f>IF(Criterios!B24="","",Criterios!D24/100)</f>
        <v/>
      </c>
      <c r="C85">
        <f>IF(Criterios!B24="","",'Satisfactorio')</f>
        <v/>
      </c>
      <c r="D85">
        <f>IF(Criterios!B24="","",Criterios!H24)</f>
        <v/>
      </c>
      <c r="E85">
        <f>IF(Criterios!B24="","",75)</f>
        <v/>
      </c>
      <c r="F85">
        <f>IF(Criterios!B24="","",Criterios!A24)</f>
        <v/>
      </c>
      <c r="G85">
        <f>IF(Criterios!B24="","",24)</f>
        <v/>
      </c>
    </row>
    <row r="86">
      <c r="A86">
        <f>IF(Criterios!B24="","",Criterios!B24)</f>
        <v/>
      </c>
      <c r="B86">
        <f>IF(Criterios!B24="","",Criterios!D24/100)</f>
        <v/>
      </c>
      <c r="C86">
        <f>IF(Criterios!B24="","",'Excelente')</f>
        <v/>
      </c>
      <c r="D86">
        <f>IF(Criterios!B24="","",Criterios!I24)</f>
        <v/>
      </c>
      <c r="E86">
        <f>IF(Criterios!B24="","",100)</f>
        <v/>
      </c>
      <c r="F86">
        <f>IF(Criterios!B24="","",Criterios!A24)</f>
        <v/>
      </c>
      <c r="G86">
        <f>IF(Criterios!B24="","",24)</f>
        <v/>
      </c>
    </row>
    <row r="87">
      <c r="A87">
        <f>IF(Criterios!B25="","",Criterios!B25)</f>
        <v/>
      </c>
      <c r="B87">
        <f>IF(Criterios!B25="","",Criterios!D25/100)</f>
        <v/>
      </c>
      <c r="C87">
        <f>IF(Criterios!B25="","",'Insatisfactorio')</f>
        <v/>
      </c>
      <c r="D87">
        <f>IF(Criterios!B25="","",Criterios!E25)</f>
        <v/>
      </c>
      <c r="E87">
        <f>IF(Criterios!B25="","",0)</f>
        <v/>
      </c>
      <c r="F87">
        <f>IF(Criterios!B25="","",Criterios!A25)</f>
        <v/>
      </c>
      <c r="G87">
        <f>IF(Criterios!B25="","",25)</f>
        <v/>
      </c>
    </row>
    <row r="88">
      <c r="A88">
        <f>IF(Criterios!B25="","",Criterios!B25)</f>
        <v/>
      </c>
      <c r="B88">
        <f>IF(Criterios!B25="","",Criterios!D25/100)</f>
        <v/>
      </c>
      <c r="C88">
        <f>IF(Criterios!B25="","",'Necesitas_Mejorar')</f>
        <v/>
      </c>
      <c r="D88">
        <f>IF(Criterios!B25="","",Criterios!F25)</f>
        <v/>
      </c>
      <c r="E88">
        <f>IF(Criterios!B25="","",25)</f>
        <v/>
      </c>
      <c r="F88">
        <f>IF(Criterios!B25="","",Criterios!A25)</f>
        <v/>
      </c>
      <c r="G88">
        <f>IF(Criterios!B25="","",25)</f>
        <v/>
      </c>
    </row>
    <row r="89">
      <c r="A89">
        <f>IF(Criterios!B25="","",Criterios!B25)</f>
        <v/>
      </c>
      <c r="B89">
        <f>IF(Criterios!B25="","",Criterios!D25/100)</f>
        <v/>
      </c>
      <c r="C89">
        <f>IF(Criterios!B25="","",'Bueno')</f>
        <v/>
      </c>
      <c r="D89">
        <f>IF(Criterios!B25="","",Criterios!G25)</f>
        <v/>
      </c>
      <c r="E89">
        <f>IF(Criterios!B25="","",50)</f>
        <v/>
      </c>
      <c r="F89">
        <f>IF(Criterios!B25="","",Criterios!A25)</f>
        <v/>
      </c>
      <c r="G89">
        <f>IF(Criterios!B25="","",25)</f>
        <v/>
      </c>
    </row>
    <row r="90">
      <c r="A90">
        <f>IF(Criterios!B25="","",Criterios!B25)</f>
        <v/>
      </c>
      <c r="B90">
        <f>IF(Criterios!B25="","",Criterios!D25/100)</f>
        <v/>
      </c>
      <c r="C90">
        <f>IF(Criterios!B25="","",'Satisfactorio')</f>
        <v/>
      </c>
      <c r="D90">
        <f>IF(Criterios!B25="","",Criterios!H25)</f>
        <v/>
      </c>
      <c r="E90">
        <f>IF(Criterios!B25="","",75)</f>
        <v/>
      </c>
      <c r="F90">
        <f>IF(Criterios!B25="","",Criterios!A25)</f>
        <v/>
      </c>
      <c r="G90">
        <f>IF(Criterios!B25="","",25)</f>
        <v/>
      </c>
    </row>
    <row r="91">
      <c r="A91">
        <f>IF(Criterios!B25="","",Criterios!B25)</f>
        <v/>
      </c>
      <c r="B91">
        <f>IF(Criterios!B25="","",Criterios!D25/100)</f>
        <v/>
      </c>
      <c r="C91">
        <f>IF(Criterios!B25="","",'Excelente')</f>
        <v/>
      </c>
      <c r="D91">
        <f>IF(Criterios!B25="","",Criterios!I25)</f>
        <v/>
      </c>
      <c r="E91">
        <f>IF(Criterios!B25="","",100)</f>
        <v/>
      </c>
      <c r="F91">
        <f>IF(Criterios!B25="","",Criterios!A25)</f>
        <v/>
      </c>
      <c r="G91">
        <f>IF(Criterios!B25="","",25)</f>
        <v/>
      </c>
    </row>
    <row r="92">
      <c r="A92">
        <f>IF(Criterios!B26="","",Criterios!B26)</f>
        <v/>
      </c>
      <c r="B92">
        <f>IF(Criterios!B26="","",Criterios!D26/100)</f>
        <v/>
      </c>
      <c r="C92">
        <f>IF(Criterios!B26="","",'Insatisfactorio')</f>
        <v/>
      </c>
      <c r="D92">
        <f>IF(Criterios!B26="","",Criterios!E26)</f>
        <v/>
      </c>
      <c r="E92">
        <f>IF(Criterios!B26="","",0)</f>
        <v/>
      </c>
      <c r="F92">
        <f>IF(Criterios!B26="","",Criterios!A26)</f>
        <v/>
      </c>
      <c r="G92">
        <f>IF(Criterios!B26="","",26)</f>
        <v/>
      </c>
    </row>
    <row r="93">
      <c r="A93">
        <f>IF(Criterios!B26="","",Criterios!B26)</f>
        <v/>
      </c>
      <c r="B93">
        <f>IF(Criterios!B26="","",Criterios!D26/100)</f>
        <v/>
      </c>
      <c r="C93">
        <f>IF(Criterios!B26="","",'Necesitas_Mejorar')</f>
        <v/>
      </c>
      <c r="D93">
        <f>IF(Criterios!B26="","",Criterios!F26)</f>
        <v/>
      </c>
      <c r="E93">
        <f>IF(Criterios!B26="","",25)</f>
        <v/>
      </c>
      <c r="F93">
        <f>IF(Criterios!B26="","",Criterios!A26)</f>
        <v/>
      </c>
      <c r="G93">
        <f>IF(Criterios!B26="","",26)</f>
        <v/>
      </c>
    </row>
    <row r="94">
      <c r="A94">
        <f>IF(Criterios!B26="","",Criterios!B26)</f>
        <v/>
      </c>
      <c r="B94">
        <f>IF(Criterios!B26="","",Criterios!D26/100)</f>
        <v/>
      </c>
      <c r="C94">
        <f>IF(Criterios!B26="","",'Bueno')</f>
        <v/>
      </c>
      <c r="D94">
        <f>IF(Criterios!B26="","",Criterios!G26)</f>
        <v/>
      </c>
      <c r="E94">
        <f>IF(Criterios!B26="","",50)</f>
        <v/>
      </c>
      <c r="F94">
        <f>IF(Criterios!B26="","",Criterios!A26)</f>
        <v/>
      </c>
      <c r="G94">
        <f>IF(Criterios!B26="","",26)</f>
        <v/>
      </c>
    </row>
    <row r="95">
      <c r="A95">
        <f>IF(Criterios!B26="","",Criterios!B26)</f>
        <v/>
      </c>
      <c r="B95">
        <f>IF(Criterios!B26="","",Criterios!D26/100)</f>
        <v/>
      </c>
      <c r="C95">
        <f>IF(Criterios!B26="","",'Satisfactorio')</f>
        <v/>
      </c>
      <c r="D95">
        <f>IF(Criterios!B26="","",Criterios!H26)</f>
        <v/>
      </c>
      <c r="E95">
        <f>IF(Criterios!B26="","",75)</f>
        <v/>
      </c>
      <c r="F95">
        <f>IF(Criterios!B26="","",Criterios!A26)</f>
        <v/>
      </c>
      <c r="G95">
        <f>IF(Criterios!B26="","",26)</f>
        <v/>
      </c>
    </row>
    <row r="96">
      <c r="A96">
        <f>IF(Criterios!B26="","",Criterios!B26)</f>
        <v/>
      </c>
      <c r="B96">
        <f>IF(Criterios!B26="","",Criterios!D26/100)</f>
        <v/>
      </c>
      <c r="C96">
        <f>IF(Criterios!B26="","",'Excelente')</f>
        <v/>
      </c>
      <c r="D96">
        <f>IF(Criterios!B26="","",Criterios!I26)</f>
        <v/>
      </c>
      <c r="E96">
        <f>IF(Criterios!B26="","",100)</f>
        <v/>
      </c>
      <c r="F96">
        <f>IF(Criterios!B26="","",Criterios!A26)</f>
        <v/>
      </c>
      <c r="G96">
        <f>IF(Criterios!B26="","",26)</f>
        <v/>
      </c>
    </row>
    <row r="97">
      <c r="A97">
        <f>IF(Criterios!B27="","",Criterios!B27)</f>
        <v/>
      </c>
      <c r="B97">
        <f>IF(Criterios!B27="","",Criterios!D27/100)</f>
        <v/>
      </c>
      <c r="C97">
        <f>IF(Criterios!B27="","",'Insatisfactorio')</f>
        <v/>
      </c>
      <c r="D97">
        <f>IF(Criterios!B27="","",Criterios!E27)</f>
        <v/>
      </c>
      <c r="E97">
        <f>IF(Criterios!B27="","",0)</f>
        <v/>
      </c>
      <c r="F97">
        <f>IF(Criterios!B27="","",Criterios!A27)</f>
        <v/>
      </c>
      <c r="G97">
        <f>IF(Criterios!B27="","",27)</f>
        <v/>
      </c>
    </row>
    <row r="98">
      <c r="A98">
        <f>IF(Criterios!B27="","",Criterios!B27)</f>
        <v/>
      </c>
      <c r="B98">
        <f>IF(Criterios!B27="","",Criterios!D27/100)</f>
        <v/>
      </c>
      <c r="C98">
        <f>IF(Criterios!B27="","",'Necesitas_Mejorar')</f>
        <v/>
      </c>
      <c r="D98">
        <f>IF(Criterios!B27="","",Criterios!F27)</f>
        <v/>
      </c>
      <c r="E98">
        <f>IF(Criterios!B27="","",25)</f>
        <v/>
      </c>
      <c r="F98">
        <f>IF(Criterios!B27="","",Criterios!A27)</f>
        <v/>
      </c>
      <c r="G98">
        <f>IF(Criterios!B27="","",27)</f>
        <v/>
      </c>
    </row>
    <row r="99">
      <c r="A99">
        <f>IF(Criterios!B27="","",Criterios!B27)</f>
        <v/>
      </c>
      <c r="B99">
        <f>IF(Criterios!B27="","",Criterios!D27/100)</f>
        <v/>
      </c>
      <c r="C99">
        <f>IF(Criterios!B27="","",'Bueno')</f>
        <v/>
      </c>
      <c r="D99">
        <f>IF(Criterios!B27="","",Criterios!G27)</f>
        <v/>
      </c>
      <c r="E99">
        <f>IF(Criterios!B27="","",50)</f>
        <v/>
      </c>
      <c r="F99">
        <f>IF(Criterios!B27="","",Criterios!A27)</f>
        <v/>
      </c>
      <c r="G99">
        <f>IF(Criterios!B27="","",27)</f>
        <v/>
      </c>
    </row>
    <row r="100">
      <c r="A100">
        <f>IF(Criterios!B27="","",Criterios!B27)</f>
        <v/>
      </c>
      <c r="B100">
        <f>IF(Criterios!B27="","",Criterios!D27/100)</f>
        <v/>
      </c>
      <c r="C100">
        <f>IF(Criterios!B27="","",'Satisfactorio')</f>
        <v/>
      </c>
      <c r="D100">
        <f>IF(Criterios!B27="","",Criterios!H27)</f>
        <v/>
      </c>
      <c r="E100">
        <f>IF(Criterios!B27="","",75)</f>
        <v/>
      </c>
      <c r="F100">
        <f>IF(Criterios!B27="","",Criterios!A27)</f>
        <v/>
      </c>
      <c r="G100">
        <f>IF(Criterios!B27="","",27)</f>
        <v/>
      </c>
    </row>
    <row r="101">
      <c r="A101">
        <f>IF(Criterios!B27="","",Criterios!B27)</f>
        <v/>
      </c>
      <c r="B101">
        <f>IF(Criterios!B27="","",Criterios!D27/100)</f>
        <v/>
      </c>
      <c r="C101">
        <f>IF(Criterios!B27="","",'Excelente')</f>
        <v/>
      </c>
      <c r="D101">
        <f>IF(Criterios!B27="","",Criterios!I27)</f>
        <v/>
      </c>
      <c r="E101">
        <f>IF(Criterios!B27="","",100)</f>
        <v/>
      </c>
      <c r="F101">
        <f>IF(Criterios!B27="","",Criterios!A27)</f>
        <v/>
      </c>
      <c r="G101">
        <f>IF(Criterios!B27="","",27)</f>
        <v/>
      </c>
    </row>
    <row r="102">
      <c r="A102">
        <f>IF(Criterios!B28="","",Criterios!B28)</f>
        <v/>
      </c>
      <c r="B102">
        <f>IF(Criterios!B28="","",Criterios!D28/100)</f>
        <v/>
      </c>
      <c r="C102">
        <f>IF(Criterios!B28="","",'Insatisfactorio')</f>
        <v/>
      </c>
      <c r="D102">
        <f>IF(Criterios!B28="","",Criterios!E28)</f>
        <v/>
      </c>
      <c r="E102">
        <f>IF(Criterios!B28="","",0)</f>
        <v/>
      </c>
      <c r="F102">
        <f>IF(Criterios!B28="","",Criterios!A28)</f>
        <v/>
      </c>
      <c r="G102">
        <f>IF(Criterios!B28="","",28)</f>
        <v/>
      </c>
    </row>
    <row r="103">
      <c r="A103">
        <f>IF(Criterios!B28="","",Criterios!B28)</f>
        <v/>
      </c>
      <c r="B103">
        <f>IF(Criterios!B28="","",Criterios!D28/100)</f>
        <v/>
      </c>
      <c r="C103">
        <f>IF(Criterios!B28="","",'Necesitas_Mejorar')</f>
        <v/>
      </c>
      <c r="D103">
        <f>IF(Criterios!B28="","",Criterios!F28)</f>
        <v/>
      </c>
      <c r="E103">
        <f>IF(Criterios!B28="","",25)</f>
        <v/>
      </c>
      <c r="F103">
        <f>IF(Criterios!B28="","",Criterios!A28)</f>
        <v/>
      </c>
      <c r="G103">
        <f>IF(Criterios!B28="","",28)</f>
        <v/>
      </c>
    </row>
    <row r="104">
      <c r="A104">
        <f>IF(Criterios!B28="","",Criterios!B28)</f>
        <v/>
      </c>
      <c r="B104">
        <f>IF(Criterios!B28="","",Criterios!D28/100)</f>
        <v/>
      </c>
      <c r="C104">
        <f>IF(Criterios!B28="","",'Bueno')</f>
        <v/>
      </c>
      <c r="D104">
        <f>IF(Criterios!B28="","",Criterios!G28)</f>
        <v/>
      </c>
      <c r="E104">
        <f>IF(Criterios!B28="","",50)</f>
        <v/>
      </c>
      <c r="F104">
        <f>IF(Criterios!B28="","",Criterios!A28)</f>
        <v/>
      </c>
      <c r="G104">
        <f>IF(Criterios!B28="","",28)</f>
        <v/>
      </c>
    </row>
    <row r="105">
      <c r="A105">
        <f>IF(Criterios!B28="","",Criterios!B28)</f>
        <v/>
      </c>
      <c r="B105">
        <f>IF(Criterios!B28="","",Criterios!D28/100)</f>
        <v/>
      </c>
      <c r="C105">
        <f>IF(Criterios!B28="","",'Satisfactorio')</f>
        <v/>
      </c>
      <c r="D105">
        <f>IF(Criterios!B28="","",Criterios!H28)</f>
        <v/>
      </c>
      <c r="E105">
        <f>IF(Criterios!B28="","",75)</f>
        <v/>
      </c>
      <c r="F105">
        <f>IF(Criterios!B28="","",Criterios!A28)</f>
        <v/>
      </c>
      <c r="G105">
        <f>IF(Criterios!B28="","",28)</f>
        <v/>
      </c>
    </row>
    <row r="106">
      <c r="A106">
        <f>IF(Criterios!B28="","",Criterios!B28)</f>
        <v/>
      </c>
      <c r="B106">
        <f>IF(Criterios!B28="","",Criterios!D28/100)</f>
        <v/>
      </c>
      <c r="C106">
        <f>IF(Criterios!B28="","",'Excelente')</f>
        <v/>
      </c>
      <c r="D106">
        <f>IF(Criterios!B28="","",Criterios!I28)</f>
        <v/>
      </c>
      <c r="E106">
        <f>IF(Criterios!B28="","",100)</f>
        <v/>
      </c>
      <c r="F106">
        <f>IF(Criterios!B28="","",Criterios!A28)</f>
        <v/>
      </c>
      <c r="G106">
        <f>IF(Criterios!B28="","",28)</f>
        <v/>
      </c>
    </row>
    <row r="107">
      <c r="A107">
        <f>IF(Criterios!B29="","",Criterios!B29)</f>
        <v/>
      </c>
      <c r="B107">
        <f>IF(Criterios!B29="","",Criterios!D29/100)</f>
        <v/>
      </c>
      <c r="C107">
        <f>IF(Criterios!B29="","",'Insatisfactorio')</f>
        <v/>
      </c>
      <c r="D107">
        <f>IF(Criterios!B29="","",Criterios!E29)</f>
        <v/>
      </c>
      <c r="E107">
        <f>IF(Criterios!B29="","",0)</f>
        <v/>
      </c>
      <c r="F107">
        <f>IF(Criterios!B29="","",Criterios!A29)</f>
        <v/>
      </c>
      <c r="G107">
        <f>IF(Criterios!B29="","",29)</f>
        <v/>
      </c>
    </row>
    <row r="108">
      <c r="A108">
        <f>IF(Criterios!B29="","",Criterios!B29)</f>
        <v/>
      </c>
      <c r="B108">
        <f>IF(Criterios!B29="","",Criterios!D29/100)</f>
        <v/>
      </c>
      <c r="C108">
        <f>IF(Criterios!B29="","",'Necesitas_Mejorar')</f>
        <v/>
      </c>
      <c r="D108">
        <f>IF(Criterios!B29="","",Criterios!F29)</f>
        <v/>
      </c>
      <c r="E108">
        <f>IF(Criterios!B29="","",25)</f>
        <v/>
      </c>
      <c r="F108">
        <f>IF(Criterios!B29="","",Criterios!A29)</f>
        <v/>
      </c>
      <c r="G108">
        <f>IF(Criterios!B29="","",29)</f>
        <v/>
      </c>
    </row>
    <row r="109">
      <c r="A109">
        <f>IF(Criterios!B29="","",Criterios!B29)</f>
        <v/>
      </c>
      <c r="B109">
        <f>IF(Criterios!B29="","",Criterios!D29/100)</f>
        <v/>
      </c>
      <c r="C109">
        <f>IF(Criterios!B29="","",'Bueno')</f>
        <v/>
      </c>
      <c r="D109">
        <f>IF(Criterios!B29="","",Criterios!G29)</f>
        <v/>
      </c>
      <c r="E109">
        <f>IF(Criterios!B29="","",50)</f>
        <v/>
      </c>
      <c r="F109">
        <f>IF(Criterios!B29="","",Criterios!A29)</f>
        <v/>
      </c>
      <c r="G109">
        <f>IF(Criterios!B29="","",29)</f>
        <v/>
      </c>
    </row>
    <row r="110">
      <c r="A110">
        <f>IF(Criterios!B29="","",Criterios!B29)</f>
        <v/>
      </c>
      <c r="B110">
        <f>IF(Criterios!B29="","",Criterios!D29/100)</f>
        <v/>
      </c>
      <c r="C110">
        <f>IF(Criterios!B29="","",'Satisfactorio')</f>
        <v/>
      </c>
      <c r="D110">
        <f>IF(Criterios!B29="","",Criterios!H29)</f>
        <v/>
      </c>
      <c r="E110">
        <f>IF(Criterios!B29="","",75)</f>
        <v/>
      </c>
      <c r="F110">
        <f>IF(Criterios!B29="","",Criterios!A29)</f>
        <v/>
      </c>
      <c r="G110">
        <f>IF(Criterios!B29="","",29)</f>
        <v/>
      </c>
    </row>
    <row r="111">
      <c r="A111">
        <f>IF(Criterios!B29="","",Criterios!B29)</f>
        <v/>
      </c>
      <c r="B111">
        <f>IF(Criterios!B29="","",Criterios!D29/100)</f>
        <v/>
      </c>
      <c r="C111">
        <f>IF(Criterios!B29="","",'Excelente')</f>
        <v/>
      </c>
      <c r="D111">
        <f>IF(Criterios!B29="","",Criterios!I29)</f>
        <v/>
      </c>
      <c r="E111">
        <f>IF(Criterios!B29="","",100)</f>
        <v/>
      </c>
      <c r="F111">
        <f>IF(Criterios!B29="","",Criterios!A29)</f>
        <v/>
      </c>
      <c r="G111">
        <f>IF(Criterios!B29="","",29)</f>
        <v/>
      </c>
    </row>
    <row r="112">
      <c r="A112">
        <f>IF(Criterios!B30="","",Criterios!B30)</f>
        <v/>
      </c>
      <c r="B112">
        <f>IF(Criterios!B30="","",Criterios!D30/100)</f>
        <v/>
      </c>
      <c r="C112">
        <f>IF(Criterios!B30="","",'Insatisfactorio')</f>
        <v/>
      </c>
      <c r="D112">
        <f>IF(Criterios!B30="","",Criterios!E30)</f>
        <v/>
      </c>
      <c r="E112">
        <f>IF(Criterios!B30="","",0)</f>
        <v/>
      </c>
      <c r="F112">
        <f>IF(Criterios!B30="","",Criterios!A30)</f>
        <v/>
      </c>
      <c r="G112">
        <f>IF(Criterios!B30="","",30)</f>
        <v/>
      </c>
    </row>
    <row r="113">
      <c r="A113">
        <f>IF(Criterios!B30="","",Criterios!B30)</f>
        <v/>
      </c>
      <c r="B113">
        <f>IF(Criterios!B30="","",Criterios!D30/100)</f>
        <v/>
      </c>
      <c r="C113">
        <f>IF(Criterios!B30="","",'Necesitas_Mejorar')</f>
        <v/>
      </c>
      <c r="D113">
        <f>IF(Criterios!B30="","",Criterios!F30)</f>
        <v/>
      </c>
      <c r="E113">
        <f>IF(Criterios!B30="","",25)</f>
        <v/>
      </c>
      <c r="F113">
        <f>IF(Criterios!B30="","",Criterios!A30)</f>
        <v/>
      </c>
      <c r="G113">
        <f>IF(Criterios!B30="","",30)</f>
        <v/>
      </c>
    </row>
    <row r="114">
      <c r="A114">
        <f>IF(Criterios!B30="","",Criterios!B30)</f>
        <v/>
      </c>
      <c r="B114">
        <f>IF(Criterios!B30="","",Criterios!D30/100)</f>
        <v/>
      </c>
      <c r="C114">
        <f>IF(Criterios!B30="","",'Bueno')</f>
        <v/>
      </c>
      <c r="D114">
        <f>IF(Criterios!B30="","",Criterios!G30)</f>
        <v/>
      </c>
      <c r="E114">
        <f>IF(Criterios!B30="","",50)</f>
        <v/>
      </c>
      <c r="F114">
        <f>IF(Criterios!B30="","",Criterios!A30)</f>
        <v/>
      </c>
      <c r="G114">
        <f>IF(Criterios!B30="","",30)</f>
        <v/>
      </c>
    </row>
    <row r="115">
      <c r="A115">
        <f>IF(Criterios!B30="","",Criterios!B30)</f>
        <v/>
      </c>
      <c r="B115">
        <f>IF(Criterios!B30="","",Criterios!D30/100)</f>
        <v/>
      </c>
      <c r="C115">
        <f>IF(Criterios!B30="","",'Satisfactorio')</f>
        <v/>
      </c>
      <c r="D115">
        <f>IF(Criterios!B30="","",Criterios!H30)</f>
        <v/>
      </c>
      <c r="E115">
        <f>IF(Criterios!B30="","",75)</f>
        <v/>
      </c>
      <c r="F115">
        <f>IF(Criterios!B30="","",Criterios!A30)</f>
        <v/>
      </c>
      <c r="G115">
        <f>IF(Criterios!B30="","",30)</f>
        <v/>
      </c>
    </row>
    <row r="116">
      <c r="A116">
        <f>IF(Criterios!B30="","",Criterios!B30)</f>
        <v/>
      </c>
      <c r="B116">
        <f>IF(Criterios!B30="","",Criterios!D30/100)</f>
        <v/>
      </c>
      <c r="C116">
        <f>IF(Criterios!B30="","",'Excelente')</f>
        <v/>
      </c>
      <c r="D116">
        <f>IF(Criterios!B30="","",Criterios!I30)</f>
        <v/>
      </c>
      <c r="E116">
        <f>IF(Criterios!B30="","",100)</f>
        <v/>
      </c>
      <c r="F116">
        <f>IF(Criterios!B30="","",Criterios!A30)</f>
        <v/>
      </c>
      <c r="G116">
        <f>IF(Criterios!B30="","",30)</f>
        <v/>
      </c>
    </row>
    <row r="117">
      <c r="A117">
        <f>IF(Criterios!B31="","",Criterios!B31)</f>
        <v/>
      </c>
      <c r="B117">
        <f>IF(Criterios!B31="","",Criterios!D31/100)</f>
        <v/>
      </c>
      <c r="C117">
        <f>IF(Criterios!B31="","",'Insatisfactorio')</f>
        <v/>
      </c>
      <c r="D117">
        <f>IF(Criterios!B31="","",Criterios!E31)</f>
        <v/>
      </c>
      <c r="E117">
        <f>IF(Criterios!B31="","",0)</f>
        <v/>
      </c>
      <c r="F117">
        <f>IF(Criterios!B31="","",Criterios!A31)</f>
        <v/>
      </c>
      <c r="G117">
        <f>IF(Criterios!B31="","",31)</f>
        <v/>
      </c>
    </row>
    <row r="118">
      <c r="A118">
        <f>IF(Criterios!B31="","",Criterios!B31)</f>
        <v/>
      </c>
      <c r="B118">
        <f>IF(Criterios!B31="","",Criterios!D31/100)</f>
        <v/>
      </c>
      <c r="C118">
        <f>IF(Criterios!B31="","",'Necesitas_Mejorar')</f>
        <v/>
      </c>
      <c r="D118">
        <f>IF(Criterios!B31="","",Criterios!F31)</f>
        <v/>
      </c>
      <c r="E118">
        <f>IF(Criterios!B31="","",25)</f>
        <v/>
      </c>
      <c r="F118">
        <f>IF(Criterios!B31="","",Criterios!A31)</f>
        <v/>
      </c>
      <c r="G118">
        <f>IF(Criterios!B31="","",31)</f>
        <v/>
      </c>
    </row>
    <row r="119">
      <c r="A119">
        <f>IF(Criterios!B31="","",Criterios!B31)</f>
        <v/>
      </c>
      <c r="B119">
        <f>IF(Criterios!B31="","",Criterios!D31/100)</f>
        <v/>
      </c>
      <c r="C119">
        <f>IF(Criterios!B31="","",'Bueno')</f>
        <v/>
      </c>
      <c r="D119">
        <f>IF(Criterios!B31="","",Criterios!G31)</f>
        <v/>
      </c>
      <c r="E119">
        <f>IF(Criterios!B31="","",50)</f>
        <v/>
      </c>
      <c r="F119">
        <f>IF(Criterios!B31="","",Criterios!A31)</f>
        <v/>
      </c>
      <c r="G119">
        <f>IF(Criterios!B31="","",31)</f>
        <v/>
      </c>
    </row>
    <row r="120">
      <c r="A120">
        <f>IF(Criterios!B31="","",Criterios!B31)</f>
        <v/>
      </c>
      <c r="B120">
        <f>IF(Criterios!B31="","",Criterios!D31/100)</f>
        <v/>
      </c>
      <c r="C120">
        <f>IF(Criterios!B31="","",'Satisfactorio')</f>
        <v/>
      </c>
      <c r="D120">
        <f>IF(Criterios!B31="","",Criterios!H31)</f>
        <v/>
      </c>
      <c r="E120">
        <f>IF(Criterios!B31="","",75)</f>
        <v/>
      </c>
      <c r="F120">
        <f>IF(Criterios!B31="","",Criterios!A31)</f>
        <v/>
      </c>
      <c r="G120">
        <f>IF(Criterios!B31="","",31)</f>
        <v/>
      </c>
    </row>
    <row r="121">
      <c r="A121">
        <f>IF(Criterios!B31="","",Criterios!B31)</f>
        <v/>
      </c>
      <c r="B121">
        <f>IF(Criterios!B31="","",Criterios!D31/100)</f>
        <v/>
      </c>
      <c r="C121">
        <f>IF(Criterios!B31="","",'Excelente')</f>
        <v/>
      </c>
      <c r="D121">
        <f>IF(Criterios!B31="","",Criterios!I31)</f>
        <v/>
      </c>
      <c r="E121">
        <f>IF(Criterios!B31="","",100)</f>
        <v/>
      </c>
      <c r="F121">
        <f>IF(Criterios!B31="","",Criterios!A31)</f>
        <v/>
      </c>
      <c r="G121">
        <f>IF(Criterios!B31="","",31)</f>
        <v/>
      </c>
    </row>
    <row r="122">
      <c r="A122">
        <f>IF(Criterios!B32="","",Criterios!B32)</f>
        <v/>
      </c>
      <c r="B122">
        <f>IF(Criterios!B32="","",Criterios!D32/100)</f>
        <v/>
      </c>
      <c r="C122">
        <f>IF(Criterios!B32="","",'Insatisfactorio')</f>
        <v/>
      </c>
      <c r="D122">
        <f>IF(Criterios!B32="","",Criterios!E32)</f>
        <v/>
      </c>
      <c r="E122">
        <f>IF(Criterios!B32="","",0)</f>
        <v/>
      </c>
      <c r="F122">
        <f>IF(Criterios!B32="","",Criterios!A32)</f>
        <v/>
      </c>
      <c r="G122">
        <f>IF(Criterios!B32="","",32)</f>
        <v/>
      </c>
    </row>
    <row r="123">
      <c r="A123">
        <f>IF(Criterios!B32="","",Criterios!B32)</f>
        <v/>
      </c>
      <c r="B123">
        <f>IF(Criterios!B32="","",Criterios!D32/100)</f>
        <v/>
      </c>
      <c r="C123">
        <f>IF(Criterios!B32="","",'Necesitas_Mejorar')</f>
        <v/>
      </c>
      <c r="D123">
        <f>IF(Criterios!B32="","",Criterios!F32)</f>
        <v/>
      </c>
      <c r="E123">
        <f>IF(Criterios!B32="","",25)</f>
        <v/>
      </c>
      <c r="F123">
        <f>IF(Criterios!B32="","",Criterios!A32)</f>
        <v/>
      </c>
      <c r="G123">
        <f>IF(Criterios!B32="","",32)</f>
        <v/>
      </c>
    </row>
    <row r="124">
      <c r="A124">
        <f>IF(Criterios!B32="","",Criterios!B32)</f>
        <v/>
      </c>
      <c r="B124">
        <f>IF(Criterios!B32="","",Criterios!D32/100)</f>
        <v/>
      </c>
      <c r="C124">
        <f>IF(Criterios!B32="","",'Bueno')</f>
        <v/>
      </c>
      <c r="D124">
        <f>IF(Criterios!B32="","",Criterios!G32)</f>
        <v/>
      </c>
      <c r="E124">
        <f>IF(Criterios!B32="","",50)</f>
        <v/>
      </c>
      <c r="F124">
        <f>IF(Criterios!B32="","",Criterios!A32)</f>
        <v/>
      </c>
      <c r="G124">
        <f>IF(Criterios!B32="","",32)</f>
        <v/>
      </c>
    </row>
    <row r="125">
      <c r="A125">
        <f>IF(Criterios!B32="","",Criterios!B32)</f>
        <v/>
      </c>
      <c r="B125">
        <f>IF(Criterios!B32="","",Criterios!D32/100)</f>
        <v/>
      </c>
      <c r="C125">
        <f>IF(Criterios!B32="","",'Satisfactorio')</f>
        <v/>
      </c>
      <c r="D125">
        <f>IF(Criterios!B32="","",Criterios!H32)</f>
        <v/>
      </c>
      <c r="E125">
        <f>IF(Criterios!B32="","",75)</f>
        <v/>
      </c>
      <c r="F125">
        <f>IF(Criterios!B32="","",Criterios!A32)</f>
        <v/>
      </c>
      <c r="G125">
        <f>IF(Criterios!B32="","",32)</f>
        <v/>
      </c>
    </row>
    <row r="126">
      <c r="A126">
        <f>IF(Criterios!B32="","",Criterios!B32)</f>
        <v/>
      </c>
      <c r="B126">
        <f>IF(Criterios!B32="","",Criterios!D32/100)</f>
        <v/>
      </c>
      <c r="C126">
        <f>IF(Criterios!B32="","",'Excelente')</f>
        <v/>
      </c>
      <c r="D126">
        <f>IF(Criterios!B32="","",Criterios!I32)</f>
        <v/>
      </c>
      <c r="E126">
        <f>IF(Criterios!B32="","",100)</f>
        <v/>
      </c>
      <c r="F126">
        <f>IF(Criterios!B32="","",Criterios!A32)</f>
        <v/>
      </c>
      <c r="G126">
        <f>IF(Criterios!B32="","",32)</f>
        <v/>
      </c>
    </row>
    <row r="127">
      <c r="A127">
        <f>IF(Criterios!B33="","",Criterios!B33)</f>
        <v/>
      </c>
      <c r="B127">
        <f>IF(Criterios!B33="","",Criterios!D33/100)</f>
        <v/>
      </c>
      <c r="C127">
        <f>IF(Criterios!B33="","",'Insatisfactorio')</f>
        <v/>
      </c>
      <c r="D127">
        <f>IF(Criterios!B33="","",Criterios!E33)</f>
        <v/>
      </c>
      <c r="E127">
        <f>IF(Criterios!B33="","",0)</f>
        <v/>
      </c>
      <c r="F127">
        <f>IF(Criterios!B33="","",Criterios!A33)</f>
        <v/>
      </c>
      <c r="G127">
        <f>IF(Criterios!B33="","",33)</f>
        <v/>
      </c>
    </row>
    <row r="128">
      <c r="A128">
        <f>IF(Criterios!B33="","",Criterios!B33)</f>
        <v/>
      </c>
      <c r="B128">
        <f>IF(Criterios!B33="","",Criterios!D33/100)</f>
        <v/>
      </c>
      <c r="C128">
        <f>IF(Criterios!B33="","",'Necesitas_Mejorar')</f>
        <v/>
      </c>
      <c r="D128">
        <f>IF(Criterios!B33="","",Criterios!F33)</f>
        <v/>
      </c>
      <c r="E128">
        <f>IF(Criterios!B33="","",25)</f>
        <v/>
      </c>
      <c r="F128">
        <f>IF(Criterios!B33="","",Criterios!A33)</f>
        <v/>
      </c>
      <c r="G128">
        <f>IF(Criterios!B33="","",33)</f>
        <v/>
      </c>
    </row>
    <row r="129">
      <c r="A129">
        <f>IF(Criterios!B33="","",Criterios!B33)</f>
        <v/>
      </c>
      <c r="B129">
        <f>IF(Criterios!B33="","",Criterios!D33/100)</f>
        <v/>
      </c>
      <c r="C129">
        <f>IF(Criterios!B33="","",'Bueno')</f>
        <v/>
      </c>
      <c r="D129">
        <f>IF(Criterios!B33="","",Criterios!G33)</f>
        <v/>
      </c>
      <c r="E129">
        <f>IF(Criterios!B33="","",50)</f>
        <v/>
      </c>
      <c r="F129">
        <f>IF(Criterios!B33="","",Criterios!A33)</f>
        <v/>
      </c>
      <c r="G129">
        <f>IF(Criterios!B33="","",33)</f>
        <v/>
      </c>
    </row>
    <row r="130">
      <c r="A130">
        <f>IF(Criterios!B33="","",Criterios!B33)</f>
        <v/>
      </c>
      <c r="B130">
        <f>IF(Criterios!B33="","",Criterios!D33/100)</f>
        <v/>
      </c>
      <c r="C130">
        <f>IF(Criterios!B33="","",'Satisfactorio')</f>
        <v/>
      </c>
      <c r="D130">
        <f>IF(Criterios!B33="","",Criterios!H33)</f>
        <v/>
      </c>
      <c r="E130">
        <f>IF(Criterios!B33="","",75)</f>
        <v/>
      </c>
      <c r="F130">
        <f>IF(Criterios!B33="","",Criterios!A33)</f>
        <v/>
      </c>
      <c r="G130">
        <f>IF(Criterios!B33="","",33)</f>
        <v/>
      </c>
    </row>
    <row r="131">
      <c r="A131">
        <f>IF(Criterios!B33="","",Criterios!B33)</f>
        <v/>
      </c>
      <c r="B131">
        <f>IF(Criterios!B33="","",Criterios!D33/100)</f>
        <v/>
      </c>
      <c r="C131">
        <f>IF(Criterios!B33="","",'Excelente')</f>
        <v/>
      </c>
      <c r="D131">
        <f>IF(Criterios!B33="","",Criterios!I33)</f>
        <v/>
      </c>
      <c r="E131">
        <f>IF(Criterios!B33="","",100)</f>
        <v/>
      </c>
      <c r="F131">
        <f>IF(Criterios!B33="","",Criterios!A33)</f>
        <v/>
      </c>
      <c r="G131">
        <f>IF(Criterios!B33="","",33)</f>
        <v/>
      </c>
    </row>
    <row r="132">
      <c r="A132">
        <f>IF(Criterios!B34="","",Criterios!B34)</f>
        <v/>
      </c>
      <c r="B132">
        <f>IF(Criterios!B34="","",Criterios!D34/100)</f>
        <v/>
      </c>
      <c r="C132">
        <f>IF(Criterios!B34="","",'Insatisfactorio')</f>
        <v/>
      </c>
      <c r="D132">
        <f>IF(Criterios!B34="","",Criterios!E34)</f>
        <v/>
      </c>
      <c r="E132">
        <f>IF(Criterios!B34="","",0)</f>
        <v/>
      </c>
      <c r="F132">
        <f>IF(Criterios!B34="","",Criterios!A34)</f>
        <v/>
      </c>
      <c r="G132">
        <f>IF(Criterios!B34="","",34)</f>
        <v/>
      </c>
    </row>
    <row r="133">
      <c r="A133">
        <f>IF(Criterios!B34="","",Criterios!B34)</f>
        <v/>
      </c>
      <c r="B133">
        <f>IF(Criterios!B34="","",Criterios!D34/100)</f>
        <v/>
      </c>
      <c r="C133">
        <f>IF(Criterios!B34="","",'Necesitas_Mejorar')</f>
        <v/>
      </c>
      <c r="D133">
        <f>IF(Criterios!B34="","",Criterios!F34)</f>
        <v/>
      </c>
      <c r="E133">
        <f>IF(Criterios!B34="","",25)</f>
        <v/>
      </c>
      <c r="F133">
        <f>IF(Criterios!B34="","",Criterios!A34)</f>
        <v/>
      </c>
      <c r="G133">
        <f>IF(Criterios!B34="","",34)</f>
        <v/>
      </c>
    </row>
    <row r="134">
      <c r="A134">
        <f>IF(Criterios!B34="","",Criterios!B34)</f>
        <v/>
      </c>
      <c r="B134">
        <f>IF(Criterios!B34="","",Criterios!D34/100)</f>
        <v/>
      </c>
      <c r="C134">
        <f>IF(Criterios!B34="","",'Bueno')</f>
        <v/>
      </c>
      <c r="D134">
        <f>IF(Criterios!B34="","",Criterios!G34)</f>
        <v/>
      </c>
      <c r="E134">
        <f>IF(Criterios!B34="","",50)</f>
        <v/>
      </c>
      <c r="F134">
        <f>IF(Criterios!B34="","",Criterios!A34)</f>
        <v/>
      </c>
      <c r="G134">
        <f>IF(Criterios!B34="","",34)</f>
        <v/>
      </c>
    </row>
    <row r="135">
      <c r="A135">
        <f>IF(Criterios!B34="","",Criterios!B34)</f>
        <v/>
      </c>
      <c r="B135">
        <f>IF(Criterios!B34="","",Criterios!D34/100)</f>
        <v/>
      </c>
      <c r="C135">
        <f>IF(Criterios!B34="","",'Satisfactorio')</f>
        <v/>
      </c>
      <c r="D135">
        <f>IF(Criterios!B34="","",Criterios!H34)</f>
        <v/>
      </c>
      <c r="E135">
        <f>IF(Criterios!B34="","",75)</f>
        <v/>
      </c>
      <c r="F135">
        <f>IF(Criterios!B34="","",Criterios!A34)</f>
        <v/>
      </c>
      <c r="G135">
        <f>IF(Criterios!B34="","",34)</f>
        <v/>
      </c>
    </row>
    <row r="136">
      <c r="A136">
        <f>IF(Criterios!B34="","",Criterios!B34)</f>
        <v/>
      </c>
      <c r="B136">
        <f>IF(Criterios!B34="","",Criterios!D34/100)</f>
        <v/>
      </c>
      <c r="C136">
        <f>IF(Criterios!B34="","",'Excelente')</f>
        <v/>
      </c>
      <c r="D136">
        <f>IF(Criterios!B34="","",Criterios!I34)</f>
        <v/>
      </c>
      <c r="E136">
        <f>IF(Criterios!B34="","",100)</f>
        <v/>
      </c>
      <c r="F136">
        <f>IF(Criterios!B34="","",Criterios!A34)</f>
        <v/>
      </c>
      <c r="G136">
        <f>IF(Criterios!B34="","",34)</f>
        <v/>
      </c>
    </row>
    <row r="137">
      <c r="A137">
        <f>IF(Criterios!B35="","",Criterios!B35)</f>
        <v/>
      </c>
      <c r="B137">
        <f>IF(Criterios!B35="","",Criterios!D35/100)</f>
        <v/>
      </c>
      <c r="C137">
        <f>IF(Criterios!B35="","",'Insatisfactorio')</f>
        <v/>
      </c>
      <c r="D137">
        <f>IF(Criterios!B35="","",Criterios!E35)</f>
        <v/>
      </c>
      <c r="E137">
        <f>IF(Criterios!B35="","",0)</f>
        <v/>
      </c>
      <c r="F137">
        <f>IF(Criterios!B35="","",Criterios!A35)</f>
        <v/>
      </c>
      <c r="G137">
        <f>IF(Criterios!B35="","",35)</f>
        <v/>
      </c>
    </row>
    <row r="138">
      <c r="A138">
        <f>IF(Criterios!B35="","",Criterios!B35)</f>
        <v/>
      </c>
      <c r="B138">
        <f>IF(Criterios!B35="","",Criterios!D35/100)</f>
        <v/>
      </c>
      <c r="C138">
        <f>IF(Criterios!B35="","",'Necesitas_Mejorar')</f>
        <v/>
      </c>
      <c r="D138">
        <f>IF(Criterios!B35="","",Criterios!F35)</f>
        <v/>
      </c>
      <c r="E138">
        <f>IF(Criterios!B35="","",25)</f>
        <v/>
      </c>
      <c r="F138">
        <f>IF(Criterios!B35="","",Criterios!A35)</f>
        <v/>
      </c>
      <c r="G138">
        <f>IF(Criterios!B35="","",35)</f>
        <v/>
      </c>
    </row>
    <row r="139">
      <c r="A139">
        <f>IF(Criterios!B35="","",Criterios!B35)</f>
        <v/>
      </c>
      <c r="B139">
        <f>IF(Criterios!B35="","",Criterios!D35/100)</f>
        <v/>
      </c>
      <c r="C139">
        <f>IF(Criterios!B35="","",'Bueno')</f>
        <v/>
      </c>
      <c r="D139">
        <f>IF(Criterios!B35="","",Criterios!G35)</f>
        <v/>
      </c>
      <c r="E139">
        <f>IF(Criterios!B35="","",50)</f>
        <v/>
      </c>
      <c r="F139">
        <f>IF(Criterios!B35="","",Criterios!A35)</f>
        <v/>
      </c>
      <c r="G139">
        <f>IF(Criterios!B35="","",35)</f>
        <v/>
      </c>
    </row>
    <row r="140">
      <c r="A140">
        <f>IF(Criterios!B35="","",Criterios!B35)</f>
        <v/>
      </c>
      <c r="B140">
        <f>IF(Criterios!B35="","",Criterios!D35/100)</f>
        <v/>
      </c>
      <c r="C140">
        <f>IF(Criterios!B35="","",'Satisfactorio')</f>
        <v/>
      </c>
      <c r="D140">
        <f>IF(Criterios!B35="","",Criterios!H35)</f>
        <v/>
      </c>
      <c r="E140">
        <f>IF(Criterios!B35="","",75)</f>
        <v/>
      </c>
      <c r="F140">
        <f>IF(Criterios!B35="","",Criterios!A35)</f>
        <v/>
      </c>
      <c r="G140">
        <f>IF(Criterios!B35="","",35)</f>
        <v/>
      </c>
    </row>
    <row r="141">
      <c r="A141">
        <f>IF(Criterios!B35="","",Criterios!B35)</f>
        <v/>
      </c>
      <c r="B141">
        <f>IF(Criterios!B35="","",Criterios!D35/100)</f>
        <v/>
      </c>
      <c r="C141">
        <f>IF(Criterios!B35="","",'Excelente')</f>
        <v/>
      </c>
      <c r="D141">
        <f>IF(Criterios!B35="","",Criterios!I35)</f>
        <v/>
      </c>
      <c r="E141">
        <f>IF(Criterios!B35="","",100)</f>
        <v/>
      </c>
      <c r="F141">
        <f>IF(Criterios!B35="","",Criterios!A35)</f>
        <v/>
      </c>
      <c r="G141">
        <f>IF(Criterios!B35="","",35)</f>
        <v/>
      </c>
    </row>
    <row r="142">
      <c r="A142">
        <f>IF(Criterios!B36="","",Criterios!B36)</f>
        <v/>
      </c>
      <c r="B142">
        <f>IF(Criterios!B36="","",Criterios!D36/100)</f>
        <v/>
      </c>
      <c r="C142">
        <f>IF(Criterios!B36="","",'Insatisfactorio')</f>
        <v/>
      </c>
      <c r="D142">
        <f>IF(Criterios!B36="","",Criterios!E36)</f>
        <v/>
      </c>
      <c r="E142">
        <f>IF(Criterios!B36="","",0)</f>
        <v/>
      </c>
      <c r="F142">
        <f>IF(Criterios!B36="","",Criterios!A36)</f>
        <v/>
      </c>
      <c r="G142">
        <f>IF(Criterios!B36="","",36)</f>
        <v/>
      </c>
    </row>
    <row r="143">
      <c r="A143">
        <f>IF(Criterios!B36="","",Criterios!B36)</f>
        <v/>
      </c>
      <c r="B143">
        <f>IF(Criterios!B36="","",Criterios!D36/100)</f>
        <v/>
      </c>
      <c r="C143">
        <f>IF(Criterios!B36="","",'Necesitas_Mejorar')</f>
        <v/>
      </c>
      <c r="D143">
        <f>IF(Criterios!B36="","",Criterios!F36)</f>
        <v/>
      </c>
      <c r="E143">
        <f>IF(Criterios!B36="","",25)</f>
        <v/>
      </c>
      <c r="F143">
        <f>IF(Criterios!B36="","",Criterios!A36)</f>
        <v/>
      </c>
      <c r="G143">
        <f>IF(Criterios!B36="","",36)</f>
        <v/>
      </c>
    </row>
    <row r="144">
      <c r="A144">
        <f>IF(Criterios!B36="","",Criterios!B36)</f>
        <v/>
      </c>
      <c r="B144">
        <f>IF(Criterios!B36="","",Criterios!D36/100)</f>
        <v/>
      </c>
      <c r="C144">
        <f>IF(Criterios!B36="","",'Bueno')</f>
        <v/>
      </c>
      <c r="D144">
        <f>IF(Criterios!B36="","",Criterios!G36)</f>
        <v/>
      </c>
      <c r="E144">
        <f>IF(Criterios!B36="","",50)</f>
        <v/>
      </c>
      <c r="F144">
        <f>IF(Criterios!B36="","",Criterios!A36)</f>
        <v/>
      </c>
      <c r="G144">
        <f>IF(Criterios!B36="","",36)</f>
        <v/>
      </c>
    </row>
    <row r="145">
      <c r="A145">
        <f>IF(Criterios!B36="","",Criterios!B36)</f>
        <v/>
      </c>
      <c r="B145">
        <f>IF(Criterios!B36="","",Criterios!D36/100)</f>
        <v/>
      </c>
      <c r="C145">
        <f>IF(Criterios!B36="","",'Satisfactorio')</f>
        <v/>
      </c>
      <c r="D145">
        <f>IF(Criterios!B36="","",Criterios!H36)</f>
        <v/>
      </c>
      <c r="E145">
        <f>IF(Criterios!B36="","",75)</f>
        <v/>
      </c>
      <c r="F145">
        <f>IF(Criterios!B36="","",Criterios!A36)</f>
        <v/>
      </c>
      <c r="G145">
        <f>IF(Criterios!B36="","",36)</f>
        <v/>
      </c>
    </row>
    <row r="146">
      <c r="A146">
        <f>IF(Criterios!B36="","",Criterios!B36)</f>
        <v/>
      </c>
      <c r="B146">
        <f>IF(Criterios!B36="","",Criterios!D36/100)</f>
        <v/>
      </c>
      <c r="C146">
        <f>IF(Criterios!B36="","",'Excelente')</f>
        <v/>
      </c>
      <c r="D146">
        <f>IF(Criterios!B36="","",Criterios!I36)</f>
        <v/>
      </c>
      <c r="E146">
        <f>IF(Criterios!B36="","",100)</f>
        <v/>
      </c>
      <c r="F146">
        <f>IF(Criterios!B36="","",Criterios!A36)</f>
        <v/>
      </c>
      <c r="G146">
        <f>IF(Criterios!B36="","",36)</f>
        <v/>
      </c>
    </row>
    <row r="147">
      <c r="A147">
        <f>IF(Criterios!B37="","",Criterios!B37)</f>
        <v/>
      </c>
      <c r="B147">
        <f>IF(Criterios!B37="","",Criterios!D37/100)</f>
        <v/>
      </c>
      <c r="C147">
        <f>IF(Criterios!B37="","",'Insatisfactorio')</f>
        <v/>
      </c>
      <c r="D147">
        <f>IF(Criterios!B37="","",Criterios!E37)</f>
        <v/>
      </c>
      <c r="E147">
        <f>IF(Criterios!B37="","",0)</f>
        <v/>
      </c>
      <c r="F147">
        <f>IF(Criterios!B37="","",Criterios!A37)</f>
        <v/>
      </c>
      <c r="G147">
        <f>IF(Criterios!B37="","",37)</f>
        <v/>
      </c>
    </row>
    <row r="148">
      <c r="A148">
        <f>IF(Criterios!B37="","",Criterios!B37)</f>
        <v/>
      </c>
      <c r="B148">
        <f>IF(Criterios!B37="","",Criterios!D37/100)</f>
        <v/>
      </c>
      <c r="C148">
        <f>IF(Criterios!B37="","",'Necesitas_Mejorar')</f>
        <v/>
      </c>
      <c r="D148">
        <f>IF(Criterios!B37="","",Criterios!F37)</f>
        <v/>
      </c>
      <c r="E148">
        <f>IF(Criterios!B37="","",25)</f>
        <v/>
      </c>
      <c r="F148">
        <f>IF(Criterios!B37="","",Criterios!A37)</f>
        <v/>
      </c>
      <c r="G148">
        <f>IF(Criterios!B37="","",37)</f>
        <v/>
      </c>
    </row>
    <row r="149">
      <c r="A149">
        <f>IF(Criterios!B37="","",Criterios!B37)</f>
        <v/>
      </c>
      <c r="B149">
        <f>IF(Criterios!B37="","",Criterios!D37/100)</f>
        <v/>
      </c>
      <c r="C149">
        <f>IF(Criterios!B37="","",'Bueno')</f>
        <v/>
      </c>
      <c r="D149">
        <f>IF(Criterios!B37="","",Criterios!G37)</f>
        <v/>
      </c>
      <c r="E149">
        <f>IF(Criterios!B37="","",50)</f>
        <v/>
      </c>
      <c r="F149">
        <f>IF(Criterios!B37="","",Criterios!A37)</f>
        <v/>
      </c>
      <c r="G149">
        <f>IF(Criterios!B37="","",37)</f>
        <v/>
      </c>
    </row>
    <row r="150">
      <c r="A150">
        <f>IF(Criterios!B37="","",Criterios!B37)</f>
        <v/>
      </c>
      <c r="B150">
        <f>IF(Criterios!B37="","",Criterios!D37/100)</f>
        <v/>
      </c>
      <c r="C150">
        <f>IF(Criterios!B37="","",'Satisfactorio')</f>
        <v/>
      </c>
      <c r="D150">
        <f>IF(Criterios!B37="","",Criterios!H37)</f>
        <v/>
      </c>
      <c r="E150">
        <f>IF(Criterios!B37="","",75)</f>
        <v/>
      </c>
      <c r="F150">
        <f>IF(Criterios!B37="","",Criterios!A37)</f>
        <v/>
      </c>
      <c r="G150">
        <f>IF(Criterios!B37="","",37)</f>
        <v/>
      </c>
    </row>
    <row r="151">
      <c r="A151">
        <f>IF(Criterios!B37="","",Criterios!B37)</f>
        <v/>
      </c>
      <c r="B151">
        <f>IF(Criterios!B37="","",Criterios!D37/100)</f>
        <v/>
      </c>
      <c r="C151">
        <f>IF(Criterios!B37="","",'Excelente')</f>
        <v/>
      </c>
      <c r="D151">
        <f>IF(Criterios!B37="","",Criterios!I37)</f>
        <v/>
      </c>
      <c r="E151">
        <f>IF(Criterios!B37="","",100)</f>
        <v/>
      </c>
      <c r="F151">
        <f>IF(Criterios!B37="","",Criterios!A37)</f>
        <v/>
      </c>
      <c r="G151">
        <f>IF(Criterios!B37="","",37)</f>
        <v/>
      </c>
    </row>
    <row r="152">
      <c r="A152">
        <f>IF(Criterios!B38="","",Criterios!B38)</f>
        <v/>
      </c>
      <c r="B152">
        <f>IF(Criterios!B38="","",Criterios!D38/100)</f>
        <v/>
      </c>
      <c r="C152">
        <f>IF(Criterios!B38="","",'Insatisfactorio')</f>
        <v/>
      </c>
      <c r="D152">
        <f>IF(Criterios!B38="","",Criterios!E38)</f>
        <v/>
      </c>
      <c r="E152">
        <f>IF(Criterios!B38="","",0)</f>
        <v/>
      </c>
      <c r="F152">
        <f>IF(Criterios!B38="","",Criterios!A38)</f>
        <v/>
      </c>
      <c r="G152">
        <f>IF(Criterios!B38="","",38)</f>
        <v/>
      </c>
    </row>
    <row r="153">
      <c r="A153">
        <f>IF(Criterios!B38="","",Criterios!B38)</f>
        <v/>
      </c>
      <c r="B153">
        <f>IF(Criterios!B38="","",Criterios!D38/100)</f>
        <v/>
      </c>
      <c r="C153">
        <f>IF(Criterios!B38="","",'Necesitas_Mejorar')</f>
        <v/>
      </c>
      <c r="D153">
        <f>IF(Criterios!B38="","",Criterios!F38)</f>
        <v/>
      </c>
      <c r="E153">
        <f>IF(Criterios!B38="","",25)</f>
        <v/>
      </c>
      <c r="F153">
        <f>IF(Criterios!B38="","",Criterios!A38)</f>
        <v/>
      </c>
      <c r="G153">
        <f>IF(Criterios!B38="","",38)</f>
        <v/>
      </c>
    </row>
    <row r="154">
      <c r="A154">
        <f>IF(Criterios!B38="","",Criterios!B38)</f>
        <v/>
      </c>
      <c r="B154">
        <f>IF(Criterios!B38="","",Criterios!D38/100)</f>
        <v/>
      </c>
      <c r="C154">
        <f>IF(Criterios!B38="","",'Bueno')</f>
        <v/>
      </c>
      <c r="D154">
        <f>IF(Criterios!B38="","",Criterios!G38)</f>
        <v/>
      </c>
      <c r="E154">
        <f>IF(Criterios!B38="","",50)</f>
        <v/>
      </c>
      <c r="F154">
        <f>IF(Criterios!B38="","",Criterios!A38)</f>
        <v/>
      </c>
      <c r="G154">
        <f>IF(Criterios!B38="","",38)</f>
        <v/>
      </c>
    </row>
    <row r="155">
      <c r="A155">
        <f>IF(Criterios!B38="","",Criterios!B38)</f>
        <v/>
      </c>
      <c r="B155">
        <f>IF(Criterios!B38="","",Criterios!D38/100)</f>
        <v/>
      </c>
      <c r="C155">
        <f>IF(Criterios!B38="","",'Satisfactorio')</f>
        <v/>
      </c>
      <c r="D155">
        <f>IF(Criterios!B38="","",Criterios!H38)</f>
        <v/>
      </c>
      <c r="E155">
        <f>IF(Criterios!B38="","",75)</f>
        <v/>
      </c>
      <c r="F155">
        <f>IF(Criterios!B38="","",Criterios!A38)</f>
        <v/>
      </c>
      <c r="G155">
        <f>IF(Criterios!B38="","",38)</f>
        <v/>
      </c>
    </row>
    <row r="156">
      <c r="A156">
        <f>IF(Criterios!B38="","",Criterios!B38)</f>
        <v/>
      </c>
      <c r="B156">
        <f>IF(Criterios!B38="","",Criterios!D38/100)</f>
        <v/>
      </c>
      <c r="C156">
        <f>IF(Criterios!B38="","",'Excelente')</f>
        <v/>
      </c>
      <c r="D156">
        <f>IF(Criterios!B38="","",Criterios!I38)</f>
        <v/>
      </c>
      <c r="E156">
        <f>IF(Criterios!B38="","",100)</f>
        <v/>
      </c>
      <c r="F156">
        <f>IF(Criterios!B38="","",Criterios!A38)</f>
        <v/>
      </c>
      <c r="G156">
        <f>IF(Criterios!B38="","",38)</f>
        <v/>
      </c>
    </row>
    <row r="157">
      <c r="A157">
        <f>IF(Criterios!B39="","",Criterios!B39)</f>
        <v/>
      </c>
      <c r="B157">
        <f>IF(Criterios!B39="","",Criterios!D39/100)</f>
        <v/>
      </c>
      <c r="C157">
        <f>IF(Criterios!B39="","",'Insatisfactorio')</f>
        <v/>
      </c>
      <c r="D157">
        <f>IF(Criterios!B39="","",Criterios!E39)</f>
        <v/>
      </c>
      <c r="E157">
        <f>IF(Criterios!B39="","",0)</f>
        <v/>
      </c>
      <c r="F157">
        <f>IF(Criterios!B39="","",Criterios!A39)</f>
        <v/>
      </c>
      <c r="G157">
        <f>IF(Criterios!B39="","",39)</f>
        <v/>
      </c>
    </row>
    <row r="158">
      <c r="A158">
        <f>IF(Criterios!B39="","",Criterios!B39)</f>
        <v/>
      </c>
      <c r="B158">
        <f>IF(Criterios!B39="","",Criterios!D39/100)</f>
        <v/>
      </c>
      <c r="C158">
        <f>IF(Criterios!B39="","",'Necesitas_Mejorar')</f>
        <v/>
      </c>
      <c r="D158">
        <f>IF(Criterios!B39="","",Criterios!F39)</f>
        <v/>
      </c>
      <c r="E158">
        <f>IF(Criterios!B39="","",25)</f>
        <v/>
      </c>
      <c r="F158">
        <f>IF(Criterios!B39="","",Criterios!A39)</f>
        <v/>
      </c>
      <c r="G158">
        <f>IF(Criterios!B39="","",39)</f>
        <v/>
      </c>
    </row>
    <row r="159">
      <c r="A159">
        <f>IF(Criterios!B39="","",Criterios!B39)</f>
        <v/>
      </c>
      <c r="B159">
        <f>IF(Criterios!B39="","",Criterios!D39/100)</f>
        <v/>
      </c>
      <c r="C159">
        <f>IF(Criterios!B39="","",'Bueno')</f>
        <v/>
      </c>
      <c r="D159">
        <f>IF(Criterios!B39="","",Criterios!G39)</f>
        <v/>
      </c>
      <c r="E159">
        <f>IF(Criterios!B39="","",50)</f>
        <v/>
      </c>
      <c r="F159">
        <f>IF(Criterios!B39="","",Criterios!A39)</f>
        <v/>
      </c>
      <c r="G159">
        <f>IF(Criterios!B39="","",39)</f>
        <v/>
      </c>
    </row>
    <row r="160">
      <c r="A160">
        <f>IF(Criterios!B39="","",Criterios!B39)</f>
        <v/>
      </c>
      <c r="B160">
        <f>IF(Criterios!B39="","",Criterios!D39/100)</f>
        <v/>
      </c>
      <c r="C160">
        <f>IF(Criterios!B39="","",'Satisfactorio')</f>
        <v/>
      </c>
      <c r="D160">
        <f>IF(Criterios!B39="","",Criterios!H39)</f>
        <v/>
      </c>
      <c r="E160">
        <f>IF(Criterios!B39="","",75)</f>
        <v/>
      </c>
      <c r="F160">
        <f>IF(Criterios!B39="","",Criterios!A39)</f>
        <v/>
      </c>
      <c r="G160">
        <f>IF(Criterios!B39="","",39)</f>
        <v/>
      </c>
    </row>
    <row r="161">
      <c r="A161">
        <f>IF(Criterios!B39="","",Criterios!B39)</f>
        <v/>
      </c>
      <c r="B161">
        <f>IF(Criterios!B39="","",Criterios!D39/100)</f>
        <v/>
      </c>
      <c r="C161">
        <f>IF(Criterios!B39="","",'Excelente')</f>
        <v/>
      </c>
      <c r="D161">
        <f>IF(Criterios!B39="","",Criterios!I39)</f>
        <v/>
      </c>
      <c r="E161">
        <f>IF(Criterios!B39="","",100)</f>
        <v/>
      </c>
      <c r="F161">
        <f>IF(Criterios!B39="","",Criterios!A39)</f>
        <v/>
      </c>
      <c r="G161">
        <f>IF(Criterios!B39="","",39)</f>
        <v/>
      </c>
    </row>
    <row r="162">
      <c r="A162">
        <f>IF(Criterios!B40="","",Criterios!B40)</f>
        <v/>
      </c>
      <c r="B162">
        <f>IF(Criterios!B40="","",Criterios!D40/100)</f>
        <v/>
      </c>
      <c r="C162">
        <f>IF(Criterios!B40="","",'Insatisfactorio')</f>
        <v/>
      </c>
      <c r="D162">
        <f>IF(Criterios!B40="","",Criterios!E40)</f>
        <v/>
      </c>
      <c r="E162">
        <f>IF(Criterios!B40="","",0)</f>
        <v/>
      </c>
      <c r="F162">
        <f>IF(Criterios!B40="","",Criterios!A40)</f>
        <v/>
      </c>
      <c r="G162">
        <f>IF(Criterios!B40="","",40)</f>
        <v/>
      </c>
    </row>
    <row r="163">
      <c r="A163">
        <f>IF(Criterios!B40="","",Criterios!B40)</f>
        <v/>
      </c>
      <c r="B163">
        <f>IF(Criterios!B40="","",Criterios!D40/100)</f>
        <v/>
      </c>
      <c r="C163">
        <f>IF(Criterios!B40="","",'Necesitas_Mejorar')</f>
        <v/>
      </c>
      <c r="D163">
        <f>IF(Criterios!B40="","",Criterios!F40)</f>
        <v/>
      </c>
      <c r="E163">
        <f>IF(Criterios!B40="","",25)</f>
        <v/>
      </c>
      <c r="F163">
        <f>IF(Criterios!B40="","",Criterios!A40)</f>
        <v/>
      </c>
      <c r="G163">
        <f>IF(Criterios!B40="","",40)</f>
        <v/>
      </c>
    </row>
    <row r="164">
      <c r="A164">
        <f>IF(Criterios!B40="","",Criterios!B40)</f>
        <v/>
      </c>
      <c r="B164">
        <f>IF(Criterios!B40="","",Criterios!D40/100)</f>
        <v/>
      </c>
      <c r="C164">
        <f>IF(Criterios!B40="","",'Bueno')</f>
        <v/>
      </c>
      <c r="D164">
        <f>IF(Criterios!B40="","",Criterios!G40)</f>
        <v/>
      </c>
      <c r="E164">
        <f>IF(Criterios!B40="","",50)</f>
        <v/>
      </c>
      <c r="F164">
        <f>IF(Criterios!B40="","",Criterios!A40)</f>
        <v/>
      </c>
      <c r="G164">
        <f>IF(Criterios!B40="","",40)</f>
        <v/>
      </c>
    </row>
    <row r="165">
      <c r="A165">
        <f>IF(Criterios!B40="","",Criterios!B40)</f>
        <v/>
      </c>
      <c r="B165">
        <f>IF(Criterios!B40="","",Criterios!D40/100)</f>
        <v/>
      </c>
      <c r="C165">
        <f>IF(Criterios!B40="","",'Satisfactorio')</f>
        <v/>
      </c>
      <c r="D165">
        <f>IF(Criterios!B40="","",Criterios!H40)</f>
        <v/>
      </c>
      <c r="E165">
        <f>IF(Criterios!B40="","",75)</f>
        <v/>
      </c>
      <c r="F165">
        <f>IF(Criterios!B40="","",Criterios!A40)</f>
        <v/>
      </c>
      <c r="G165">
        <f>IF(Criterios!B40="","",40)</f>
        <v/>
      </c>
    </row>
    <row r="166">
      <c r="A166">
        <f>IF(Criterios!B40="","",Criterios!B40)</f>
        <v/>
      </c>
      <c r="B166">
        <f>IF(Criterios!B40="","",Criterios!D40/100)</f>
        <v/>
      </c>
      <c r="C166">
        <f>IF(Criterios!B40="","",'Excelente')</f>
        <v/>
      </c>
      <c r="D166">
        <f>IF(Criterios!B40="","",Criterios!I40)</f>
        <v/>
      </c>
      <c r="E166">
        <f>IF(Criterios!B40="","",100)</f>
        <v/>
      </c>
      <c r="F166">
        <f>IF(Criterios!B40="","",Criterios!A40)</f>
        <v/>
      </c>
      <c r="G166">
        <f>IF(Criterios!B40="","",40)</f>
        <v/>
      </c>
    </row>
    <row r="167">
      <c r="A167">
        <f>IF(Criterios!B41="","",Criterios!B41)</f>
        <v/>
      </c>
      <c r="B167">
        <f>IF(Criterios!B41="","",Criterios!D41/100)</f>
        <v/>
      </c>
      <c r="C167">
        <f>IF(Criterios!B41="","",'Insatisfactorio')</f>
        <v/>
      </c>
      <c r="D167">
        <f>IF(Criterios!B41="","",Criterios!E41)</f>
        <v/>
      </c>
      <c r="E167">
        <f>IF(Criterios!B41="","",0)</f>
        <v/>
      </c>
      <c r="F167">
        <f>IF(Criterios!B41="","",Criterios!A41)</f>
        <v/>
      </c>
      <c r="G167">
        <f>IF(Criterios!B41="","",41)</f>
        <v/>
      </c>
    </row>
    <row r="168">
      <c r="A168">
        <f>IF(Criterios!B41="","",Criterios!B41)</f>
        <v/>
      </c>
      <c r="B168">
        <f>IF(Criterios!B41="","",Criterios!D41/100)</f>
        <v/>
      </c>
      <c r="C168">
        <f>IF(Criterios!B41="","",'Necesitas_Mejorar')</f>
        <v/>
      </c>
      <c r="D168">
        <f>IF(Criterios!B41="","",Criterios!F41)</f>
        <v/>
      </c>
      <c r="E168">
        <f>IF(Criterios!B41="","",25)</f>
        <v/>
      </c>
      <c r="F168">
        <f>IF(Criterios!B41="","",Criterios!A41)</f>
        <v/>
      </c>
      <c r="G168">
        <f>IF(Criterios!B41="","",41)</f>
        <v/>
      </c>
    </row>
    <row r="169">
      <c r="A169">
        <f>IF(Criterios!B41="","",Criterios!B41)</f>
        <v/>
      </c>
      <c r="B169">
        <f>IF(Criterios!B41="","",Criterios!D41/100)</f>
        <v/>
      </c>
      <c r="C169">
        <f>IF(Criterios!B41="","",'Bueno')</f>
        <v/>
      </c>
      <c r="D169">
        <f>IF(Criterios!B41="","",Criterios!G41)</f>
        <v/>
      </c>
      <c r="E169">
        <f>IF(Criterios!B41="","",50)</f>
        <v/>
      </c>
      <c r="F169">
        <f>IF(Criterios!B41="","",Criterios!A41)</f>
        <v/>
      </c>
      <c r="G169">
        <f>IF(Criterios!B41="","",41)</f>
        <v/>
      </c>
    </row>
    <row r="170">
      <c r="A170">
        <f>IF(Criterios!B41="","",Criterios!B41)</f>
        <v/>
      </c>
      <c r="B170">
        <f>IF(Criterios!B41="","",Criterios!D41/100)</f>
        <v/>
      </c>
      <c r="C170">
        <f>IF(Criterios!B41="","",'Satisfactorio')</f>
        <v/>
      </c>
      <c r="D170">
        <f>IF(Criterios!B41="","",Criterios!H41)</f>
        <v/>
      </c>
      <c r="E170">
        <f>IF(Criterios!B41="","",75)</f>
        <v/>
      </c>
      <c r="F170">
        <f>IF(Criterios!B41="","",Criterios!A41)</f>
        <v/>
      </c>
      <c r="G170">
        <f>IF(Criterios!B41="","",41)</f>
        <v/>
      </c>
    </row>
    <row r="171">
      <c r="A171">
        <f>IF(Criterios!B41="","",Criterios!B41)</f>
        <v/>
      </c>
      <c r="B171">
        <f>IF(Criterios!B41="","",Criterios!D41/100)</f>
        <v/>
      </c>
      <c r="C171">
        <f>IF(Criterios!B41="","",'Excelente')</f>
        <v/>
      </c>
      <c r="D171">
        <f>IF(Criterios!B41="","",Criterios!I41)</f>
        <v/>
      </c>
      <c r="E171">
        <f>IF(Criterios!B41="","",100)</f>
        <v/>
      </c>
      <c r="F171">
        <f>IF(Criterios!B41="","",Criterios!A41)</f>
        <v/>
      </c>
      <c r="G171">
        <f>IF(Criterios!B41="","",41)</f>
        <v/>
      </c>
    </row>
    <row r="172">
      <c r="A172">
        <f>IF(Criterios!B42="","",Criterios!B42)</f>
        <v/>
      </c>
      <c r="B172">
        <f>IF(Criterios!B42="","",Criterios!D42/100)</f>
        <v/>
      </c>
      <c r="C172">
        <f>IF(Criterios!B42="","",'Insatisfactorio')</f>
        <v/>
      </c>
      <c r="D172">
        <f>IF(Criterios!B42="","",Criterios!E42)</f>
        <v/>
      </c>
      <c r="E172">
        <f>IF(Criterios!B42="","",0)</f>
        <v/>
      </c>
      <c r="F172">
        <f>IF(Criterios!B42="","",Criterios!A42)</f>
        <v/>
      </c>
      <c r="G172">
        <f>IF(Criterios!B42="","",42)</f>
        <v/>
      </c>
    </row>
    <row r="173">
      <c r="A173">
        <f>IF(Criterios!B42="","",Criterios!B42)</f>
        <v/>
      </c>
      <c r="B173">
        <f>IF(Criterios!B42="","",Criterios!D42/100)</f>
        <v/>
      </c>
      <c r="C173">
        <f>IF(Criterios!B42="","",'Necesitas_Mejorar')</f>
        <v/>
      </c>
      <c r="D173">
        <f>IF(Criterios!B42="","",Criterios!F42)</f>
        <v/>
      </c>
      <c r="E173">
        <f>IF(Criterios!B42="","",25)</f>
        <v/>
      </c>
      <c r="F173">
        <f>IF(Criterios!B42="","",Criterios!A42)</f>
        <v/>
      </c>
      <c r="G173">
        <f>IF(Criterios!B42="","",42)</f>
        <v/>
      </c>
    </row>
    <row r="174">
      <c r="A174">
        <f>IF(Criterios!B42="","",Criterios!B42)</f>
        <v/>
      </c>
      <c r="B174">
        <f>IF(Criterios!B42="","",Criterios!D42/100)</f>
        <v/>
      </c>
      <c r="C174">
        <f>IF(Criterios!B42="","",'Bueno')</f>
        <v/>
      </c>
      <c r="D174">
        <f>IF(Criterios!B42="","",Criterios!G42)</f>
        <v/>
      </c>
      <c r="E174">
        <f>IF(Criterios!B42="","",50)</f>
        <v/>
      </c>
      <c r="F174">
        <f>IF(Criterios!B42="","",Criterios!A42)</f>
        <v/>
      </c>
      <c r="G174">
        <f>IF(Criterios!B42="","",42)</f>
        <v/>
      </c>
    </row>
    <row r="175">
      <c r="A175">
        <f>IF(Criterios!B42="","",Criterios!B42)</f>
        <v/>
      </c>
      <c r="B175">
        <f>IF(Criterios!B42="","",Criterios!D42/100)</f>
        <v/>
      </c>
      <c r="C175">
        <f>IF(Criterios!B42="","",'Satisfactorio')</f>
        <v/>
      </c>
      <c r="D175">
        <f>IF(Criterios!B42="","",Criterios!H42)</f>
        <v/>
      </c>
      <c r="E175">
        <f>IF(Criterios!B42="","",75)</f>
        <v/>
      </c>
      <c r="F175">
        <f>IF(Criterios!B42="","",Criterios!A42)</f>
        <v/>
      </c>
      <c r="G175">
        <f>IF(Criterios!B42="","",42)</f>
        <v/>
      </c>
    </row>
    <row r="176">
      <c r="A176">
        <f>IF(Criterios!B42="","",Criterios!B42)</f>
        <v/>
      </c>
      <c r="B176">
        <f>IF(Criterios!B42="","",Criterios!D42/100)</f>
        <v/>
      </c>
      <c r="C176">
        <f>IF(Criterios!B42="","",'Excelente')</f>
        <v/>
      </c>
      <c r="D176">
        <f>IF(Criterios!B42="","",Criterios!I42)</f>
        <v/>
      </c>
      <c r="E176">
        <f>IF(Criterios!B42="","",100)</f>
        <v/>
      </c>
      <c r="F176">
        <f>IF(Criterios!B42="","",Criterios!A42)</f>
        <v/>
      </c>
      <c r="G176">
        <f>IF(Criterios!B42="","",42)</f>
        <v/>
      </c>
    </row>
    <row r="177">
      <c r="A177">
        <f>IF(Criterios!B43="","",Criterios!B43)</f>
        <v/>
      </c>
      <c r="B177">
        <f>IF(Criterios!B43="","",Criterios!D43/100)</f>
        <v/>
      </c>
      <c r="C177">
        <f>IF(Criterios!B43="","",'Insatisfactorio')</f>
        <v/>
      </c>
      <c r="D177">
        <f>IF(Criterios!B43="","",Criterios!E43)</f>
        <v/>
      </c>
      <c r="E177">
        <f>IF(Criterios!B43="","",0)</f>
        <v/>
      </c>
      <c r="F177">
        <f>IF(Criterios!B43="","",Criterios!A43)</f>
        <v/>
      </c>
      <c r="G177">
        <f>IF(Criterios!B43="","",43)</f>
        <v/>
      </c>
    </row>
    <row r="178">
      <c r="A178">
        <f>IF(Criterios!B43="","",Criterios!B43)</f>
        <v/>
      </c>
      <c r="B178">
        <f>IF(Criterios!B43="","",Criterios!D43/100)</f>
        <v/>
      </c>
      <c r="C178">
        <f>IF(Criterios!B43="","",'Necesitas_Mejorar')</f>
        <v/>
      </c>
      <c r="D178">
        <f>IF(Criterios!B43="","",Criterios!F43)</f>
        <v/>
      </c>
      <c r="E178">
        <f>IF(Criterios!B43="","",25)</f>
        <v/>
      </c>
      <c r="F178">
        <f>IF(Criterios!B43="","",Criterios!A43)</f>
        <v/>
      </c>
      <c r="G178">
        <f>IF(Criterios!B43="","",43)</f>
        <v/>
      </c>
    </row>
    <row r="179">
      <c r="A179">
        <f>IF(Criterios!B43="","",Criterios!B43)</f>
        <v/>
      </c>
      <c r="B179">
        <f>IF(Criterios!B43="","",Criterios!D43/100)</f>
        <v/>
      </c>
      <c r="C179">
        <f>IF(Criterios!B43="","",'Bueno')</f>
        <v/>
      </c>
      <c r="D179">
        <f>IF(Criterios!B43="","",Criterios!G43)</f>
        <v/>
      </c>
      <c r="E179">
        <f>IF(Criterios!B43="","",50)</f>
        <v/>
      </c>
      <c r="F179">
        <f>IF(Criterios!B43="","",Criterios!A43)</f>
        <v/>
      </c>
      <c r="G179">
        <f>IF(Criterios!B43="","",43)</f>
        <v/>
      </c>
    </row>
    <row r="180">
      <c r="A180">
        <f>IF(Criterios!B43="","",Criterios!B43)</f>
        <v/>
      </c>
      <c r="B180">
        <f>IF(Criterios!B43="","",Criterios!D43/100)</f>
        <v/>
      </c>
      <c r="C180">
        <f>IF(Criterios!B43="","",'Satisfactorio')</f>
        <v/>
      </c>
      <c r="D180">
        <f>IF(Criterios!B43="","",Criterios!H43)</f>
        <v/>
      </c>
      <c r="E180">
        <f>IF(Criterios!B43="","",75)</f>
        <v/>
      </c>
      <c r="F180">
        <f>IF(Criterios!B43="","",Criterios!A43)</f>
        <v/>
      </c>
      <c r="G180">
        <f>IF(Criterios!B43="","",43)</f>
        <v/>
      </c>
    </row>
    <row r="181">
      <c r="A181">
        <f>IF(Criterios!B43="","",Criterios!B43)</f>
        <v/>
      </c>
      <c r="B181">
        <f>IF(Criterios!B43="","",Criterios!D43/100)</f>
        <v/>
      </c>
      <c r="C181">
        <f>IF(Criterios!B43="","",'Excelente')</f>
        <v/>
      </c>
      <c r="D181">
        <f>IF(Criterios!B43="","",Criterios!I43)</f>
        <v/>
      </c>
      <c r="E181">
        <f>IF(Criterios!B43="","",100)</f>
        <v/>
      </c>
      <c r="F181">
        <f>IF(Criterios!B43="","",Criterios!A43)</f>
        <v/>
      </c>
      <c r="G181">
        <f>IF(Criterios!B43="","",43)</f>
        <v/>
      </c>
    </row>
    <row r="182">
      <c r="A182">
        <f>IF(Criterios!B44="","",Criterios!B44)</f>
        <v/>
      </c>
      <c r="B182">
        <f>IF(Criterios!B44="","",Criterios!D44/100)</f>
        <v/>
      </c>
      <c r="C182">
        <f>IF(Criterios!B44="","",'Insatisfactorio')</f>
        <v/>
      </c>
      <c r="D182">
        <f>IF(Criterios!B44="","",Criterios!E44)</f>
        <v/>
      </c>
      <c r="E182">
        <f>IF(Criterios!B44="","",0)</f>
        <v/>
      </c>
      <c r="F182">
        <f>IF(Criterios!B44="","",Criterios!A44)</f>
        <v/>
      </c>
      <c r="G182">
        <f>IF(Criterios!B44="","",44)</f>
        <v/>
      </c>
    </row>
    <row r="183">
      <c r="A183">
        <f>IF(Criterios!B44="","",Criterios!B44)</f>
        <v/>
      </c>
      <c r="B183">
        <f>IF(Criterios!B44="","",Criterios!D44/100)</f>
        <v/>
      </c>
      <c r="C183">
        <f>IF(Criterios!B44="","",'Necesitas_Mejorar')</f>
        <v/>
      </c>
      <c r="D183">
        <f>IF(Criterios!B44="","",Criterios!F44)</f>
        <v/>
      </c>
      <c r="E183">
        <f>IF(Criterios!B44="","",25)</f>
        <v/>
      </c>
      <c r="F183">
        <f>IF(Criterios!B44="","",Criterios!A44)</f>
        <v/>
      </c>
      <c r="G183">
        <f>IF(Criterios!B44="","",44)</f>
        <v/>
      </c>
    </row>
    <row r="184">
      <c r="A184">
        <f>IF(Criterios!B44="","",Criterios!B44)</f>
        <v/>
      </c>
      <c r="B184">
        <f>IF(Criterios!B44="","",Criterios!D44/100)</f>
        <v/>
      </c>
      <c r="C184">
        <f>IF(Criterios!B44="","",'Bueno')</f>
        <v/>
      </c>
      <c r="D184">
        <f>IF(Criterios!B44="","",Criterios!G44)</f>
        <v/>
      </c>
      <c r="E184">
        <f>IF(Criterios!B44="","",50)</f>
        <v/>
      </c>
      <c r="F184">
        <f>IF(Criterios!B44="","",Criterios!A44)</f>
        <v/>
      </c>
      <c r="G184">
        <f>IF(Criterios!B44="","",44)</f>
        <v/>
      </c>
    </row>
    <row r="185">
      <c r="A185">
        <f>IF(Criterios!B44="","",Criterios!B44)</f>
        <v/>
      </c>
      <c r="B185">
        <f>IF(Criterios!B44="","",Criterios!D44/100)</f>
        <v/>
      </c>
      <c r="C185">
        <f>IF(Criterios!B44="","",'Satisfactorio')</f>
        <v/>
      </c>
      <c r="D185">
        <f>IF(Criterios!B44="","",Criterios!H44)</f>
        <v/>
      </c>
      <c r="E185">
        <f>IF(Criterios!B44="","",75)</f>
        <v/>
      </c>
      <c r="F185">
        <f>IF(Criterios!B44="","",Criterios!A44)</f>
        <v/>
      </c>
      <c r="G185">
        <f>IF(Criterios!B44="","",44)</f>
        <v/>
      </c>
    </row>
    <row r="186">
      <c r="A186">
        <f>IF(Criterios!B44="","",Criterios!B44)</f>
        <v/>
      </c>
      <c r="B186">
        <f>IF(Criterios!B44="","",Criterios!D44/100)</f>
        <v/>
      </c>
      <c r="C186">
        <f>IF(Criterios!B44="","",'Excelente')</f>
        <v/>
      </c>
      <c r="D186">
        <f>IF(Criterios!B44="","",Criterios!I44)</f>
        <v/>
      </c>
      <c r="E186">
        <f>IF(Criterios!B44="","",100)</f>
        <v/>
      </c>
      <c r="F186">
        <f>IF(Criterios!B44="","",Criterios!A44)</f>
        <v/>
      </c>
      <c r="G186">
        <f>IF(Criterios!B44="","",44)</f>
        <v/>
      </c>
    </row>
    <row r="187">
      <c r="A187">
        <f>IF(Criterios!B45="","",Criterios!B45)</f>
        <v/>
      </c>
      <c r="B187">
        <f>IF(Criterios!B45="","",Criterios!D45/100)</f>
        <v/>
      </c>
      <c r="C187">
        <f>IF(Criterios!B45="","",'Insatisfactorio')</f>
        <v/>
      </c>
      <c r="D187">
        <f>IF(Criterios!B45="","",Criterios!E45)</f>
        <v/>
      </c>
      <c r="E187">
        <f>IF(Criterios!B45="","",0)</f>
        <v/>
      </c>
      <c r="F187">
        <f>IF(Criterios!B45="","",Criterios!A45)</f>
        <v/>
      </c>
      <c r="G187">
        <f>IF(Criterios!B45="","",45)</f>
        <v/>
      </c>
    </row>
    <row r="188">
      <c r="A188">
        <f>IF(Criterios!B45="","",Criterios!B45)</f>
        <v/>
      </c>
      <c r="B188">
        <f>IF(Criterios!B45="","",Criterios!D45/100)</f>
        <v/>
      </c>
      <c r="C188">
        <f>IF(Criterios!B45="","",'Necesitas_Mejorar')</f>
        <v/>
      </c>
      <c r="D188">
        <f>IF(Criterios!B45="","",Criterios!F45)</f>
        <v/>
      </c>
      <c r="E188">
        <f>IF(Criterios!B45="","",25)</f>
        <v/>
      </c>
      <c r="F188">
        <f>IF(Criterios!B45="","",Criterios!A45)</f>
        <v/>
      </c>
      <c r="G188">
        <f>IF(Criterios!B45="","",45)</f>
        <v/>
      </c>
    </row>
    <row r="189">
      <c r="A189">
        <f>IF(Criterios!B45="","",Criterios!B45)</f>
        <v/>
      </c>
      <c r="B189">
        <f>IF(Criterios!B45="","",Criterios!D45/100)</f>
        <v/>
      </c>
      <c r="C189">
        <f>IF(Criterios!B45="","",'Bueno')</f>
        <v/>
      </c>
      <c r="D189">
        <f>IF(Criterios!B45="","",Criterios!G45)</f>
        <v/>
      </c>
      <c r="E189">
        <f>IF(Criterios!B45="","",50)</f>
        <v/>
      </c>
      <c r="F189">
        <f>IF(Criterios!B45="","",Criterios!A45)</f>
        <v/>
      </c>
      <c r="G189">
        <f>IF(Criterios!B45="","",45)</f>
        <v/>
      </c>
    </row>
    <row r="190">
      <c r="A190">
        <f>IF(Criterios!B45="","",Criterios!B45)</f>
        <v/>
      </c>
      <c r="B190">
        <f>IF(Criterios!B45="","",Criterios!D45/100)</f>
        <v/>
      </c>
      <c r="C190">
        <f>IF(Criterios!B45="","",'Satisfactorio')</f>
        <v/>
      </c>
      <c r="D190">
        <f>IF(Criterios!B45="","",Criterios!H45)</f>
        <v/>
      </c>
      <c r="E190">
        <f>IF(Criterios!B45="","",75)</f>
        <v/>
      </c>
      <c r="F190">
        <f>IF(Criterios!B45="","",Criterios!A45)</f>
        <v/>
      </c>
      <c r="G190">
        <f>IF(Criterios!B45="","",45)</f>
        <v/>
      </c>
    </row>
    <row r="191">
      <c r="A191">
        <f>IF(Criterios!B45="","",Criterios!B45)</f>
        <v/>
      </c>
      <c r="B191">
        <f>IF(Criterios!B45="","",Criterios!D45/100)</f>
        <v/>
      </c>
      <c r="C191">
        <f>IF(Criterios!B45="","",'Excelente')</f>
        <v/>
      </c>
      <c r="D191">
        <f>IF(Criterios!B45="","",Criterios!I45)</f>
        <v/>
      </c>
      <c r="E191">
        <f>IF(Criterios!B45="","",100)</f>
        <v/>
      </c>
      <c r="F191">
        <f>IF(Criterios!B45="","",Criterios!A45)</f>
        <v/>
      </c>
      <c r="G191">
        <f>IF(Criterios!B45="","",45)</f>
        <v/>
      </c>
    </row>
    <row r="192">
      <c r="A192">
        <f>IF(Criterios!B46="","",Criterios!B46)</f>
        <v/>
      </c>
      <c r="B192">
        <f>IF(Criterios!B46="","",Criterios!D46/100)</f>
        <v/>
      </c>
      <c r="C192">
        <f>IF(Criterios!B46="","",'Insatisfactorio')</f>
        <v/>
      </c>
      <c r="D192">
        <f>IF(Criterios!B46="","",Criterios!E46)</f>
        <v/>
      </c>
      <c r="E192">
        <f>IF(Criterios!B46="","",0)</f>
        <v/>
      </c>
      <c r="F192">
        <f>IF(Criterios!B46="","",Criterios!A46)</f>
        <v/>
      </c>
      <c r="G192">
        <f>IF(Criterios!B46="","",46)</f>
        <v/>
      </c>
    </row>
    <row r="193">
      <c r="A193">
        <f>IF(Criterios!B46="","",Criterios!B46)</f>
        <v/>
      </c>
      <c r="B193">
        <f>IF(Criterios!B46="","",Criterios!D46/100)</f>
        <v/>
      </c>
      <c r="C193">
        <f>IF(Criterios!B46="","",'Necesitas_Mejorar')</f>
        <v/>
      </c>
      <c r="D193">
        <f>IF(Criterios!B46="","",Criterios!F46)</f>
        <v/>
      </c>
      <c r="E193">
        <f>IF(Criterios!B46="","",25)</f>
        <v/>
      </c>
      <c r="F193">
        <f>IF(Criterios!B46="","",Criterios!A46)</f>
        <v/>
      </c>
      <c r="G193">
        <f>IF(Criterios!B46="","",46)</f>
        <v/>
      </c>
    </row>
    <row r="194">
      <c r="A194">
        <f>IF(Criterios!B46="","",Criterios!B46)</f>
        <v/>
      </c>
      <c r="B194">
        <f>IF(Criterios!B46="","",Criterios!D46/100)</f>
        <v/>
      </c>
      <c r="C194">
        <f>IF(Criterios!B46="","",'Bueno')</f>
        <v/>
      </c>
      <c r="D194">
        <f>IF(Criterios!B46="","",Criterios!G46)</f>
        <v/>
      </c>
      <c r="E194">
        <f>IF(Criterios!B46="","",50)</f>
        <v/>
      </c>
      <c r="F194">
        <f>IF(Criterios!B46="","",Criterios!A46)</f>
        <v/>
      </c>
      <c r="G194">
        <f>IF(Criterios!B46="","",46)</f>
        <v/>
      </c>
    </row>
    <row r="195">
      <c r="A195">
        <f>IF(Criterios!B46="","",Criterios!B46)</f>
        <v/>
      </c>
      <c r="B195">
        <f>IF(Criterios!B46="","",Criterios!D46/100)</f>
        <v/>
      </c>
      <c r="C195">
        <f>IF(Criterios!B46="","",'Satisfactorio')</f>
        <v/>
      </c>
      <c r="D195">
        <f>IF(Criterios!B46="","",Criterios!H46)</f>
        <v/>
      </c>
      <c r="E195">
        <f>IF(Criterios!B46="","",75)</f>
        <v/>
      </c>
      <c r="F195">
        <f>IF(Criterios!B46="","",Criterios!A46)</f>
        <v/>
      </c>
      <c r="G195">
        <f>IF(Criterios!B46="","",46)</f>
        <v/>
      </c>
    </row>
    <row r="196">
      <c r="A196">
        <f>IF(Criterios!B46="","",Criterios!B46)</f>
        <v/>
      </c>
      <c r="B196">
        <f>IF(Criterios!B46="","",Criterios!D46/100)</f>
        <v/>
      </c>
      <c r="C196">
        <f>IF(Criterios!B46="","",'Excelente')</f>
        <v/>
      </c>
      <c r="D196">
        <f>IF(Criterios!B46="","",Criterios!I46)</f>
        <v/>
      </c>
      <c r="E196">
        <f>IF(Criterios!B46="","",100)</f>
        <v/>
      </c>
      <c r="F196">
        <f>IF(Criterios!B46="","",Criterios!A46)</f>
        <v/>
      </c>
      <c r="G196">
        <f>IF(Criterios!B46="","",46)</f>
        <v/>
      </c>
    </row>
    <row r="197">
      <c r="A197">
        <f>IF(Criterios!B47="","",Criterios!B47)</f>
        <v/>
      </c>
      <c r="B197">
        <f>IF(Criterios!B47="","",Criterios!D47/100)</f>
        <v/>
      </c>
      <c r="C197">
        <f>IF(Criterios!B47="","",'Insatisfactorio')</f>
        <v/>
      </c>
      <c r="D197">
        <f>IF(Criterios!B47="","",Criterios!E47)</f>
        <v/>
      </c>
      <c r="E197">
        <f>IF(Criterios!B47="","",0)</f>
        <v/>
      </c>
      <c r="F197">
        <f>IF(Criterios!B47="","",Criterios!A47)</f>
        <v/>
      </c>
      <c r="G197">
        <f>IF(Criterios!B47="","",47)</f>
        <v/>
      </c>
    </row>
    <row r="198">
      <c r="A198">
        <f>IF(Criterios!B47="","",Criterios!B47)</f>
        <v/>
      </c>
      <c r="B198">
        <f>IF(Criterios!B47="","",Criterios!D47/100)</f>
        <v/>
      </c>
      <c r="C198">
        <f>IF(Criterios!B47="","",'Necesitas_Mejorar')</f>
        <v/>
      </c>
      <c r="D198">
        <f>IF(Criterios!B47="","",Criterios!F47)</f>
        <v/>
      </c>
      <c r="E198">
        <f>IF(Criterios!B47="","",25)</f>
        <v/>
      </c>
      <c r="F198">
        <f>IF(Criterios!B47="","",Criterios!A47)</f>
        <v/>
      </c>
      <c r="G198">
        <f>IF(Criterios!B47="","",47)</f>
        <v/>
      </c>
    </row>
    <row r="199">
      <c r="A199">
        <f>IF(Criterios!B47="","",Criterios!B47)</f>
        <v/>
      </c>
      <c r="B199">
        <f>IF(Criterios!B47="","",Criterios!D47/100)</f>
        <v/>
      </c>
      <c r="C199">
        <f>IF(Criterios!B47="","",'Bueno')</f>
        <v/>
      </c>
      <c r="D199">
        <f>IF(Criterios!B47="","",Criterios!G47)</f>
        <v/>
      </c>
      <c r="E199">
        <f>IF(Criterios!B47="","",50)</f>
        <v/>
      </c>
      <c r="F199">
        <f>IF(Criterios!B47="","",Criterios!A47)</f>
        <v/>
      </c>
      <c r="G199">
        <f>IF(Criterios!B47="","",47)</f>
        <v/>
      </c>
    </row>
    <row r="200">
      <c r="A200">
        <f>IF(Criterios!B47="","",Criterios!B47)</f>
        <v/>
      </c>
      <c r="B200">
        <f>IF(Criterios!B47="","",Criterios!D47/100)</f>
        <v/>
      </c>
      <c r="C200">
        <f>IF(Criterios!B47="","",'Satisfactorio')</f>
        <v/>
      </c>
      <c r="D200">
        <f>IF(Criterios!B47="","",Criterios!H47)</f>
        <v/>
      </c>
      <c r="E200">
        <f>IF(Criterios!B47="","",75)</f>
        <v/>
      </c>
      <c r="F200">
        <f>IF(Criterios!B47="","",Criterios!A47)</f>
        <v/>
      </c>
      <c r="G200">
        <f>IF(Criterios!B47="","",47)</f>
        <v/>
      </c>
    </row>
    <row r="201">
      <c r="A201">
        <f>IF(Criterios!B47="","",Criterios!B47)</f>
        <v/>
      </c>
      <c r="B201">
        <f>IF(Criterios!B47="","",Criterios!D47/100)</f>
        <v/>
      </c>
      <c r="C201">
        <f>IF(Criterios!B47="","",'Excelente')</f>
        <v/>
      </c>
      <c r="D201">
        <f>IF(Criterios!B47="","",Criterios!I47)</f>
        <v/>
      </c>
      <c r="E201">
        <f>IF(Criterios!B47="","",100)</f>
        <v/>
      </c>
      <c r="F201">
        <f>IF(Criterios!B47="","",Criterios!A47)</f>
        <v/>
      </c>
      <c r="G201">
        <f>IF(Criterios!B47="","",47)</f>
        <v/>
      </c>
    </row>
    <row r="202">
      <c r="A202">
        <f>IF(Criterios!B48="","",Criterios!B48)</f>
        <v/>
      </c>
      <c r="B202">
        <f>IF(Criterios!B48="","",Criterios!D48/100)</f>
        <v/>
      </c>
      <c r="C202">
        <f>IF(Criterios!B48="","",'Insatisfactorio')</f>
        <v/>
      </c>
      <c r="D202">
        <f>IF(Criterios!B48="","",Criterios!E48)</f>
        <v/>
      </c>
      <c r="E202">
        <f>IF(Criterios!B48="","",0)</f>
        <v/>
      </c>
      <c r="F202">
        <f>IF(Criterios!B48="","",Criterios!A48)</f>
        <v/>
      </c>
      <c r="G202">
        <f>IF(Criterios!B48="","",48)</f>
        <v/>
      </c>
    </row>
    <row r="203">
      <c r="A203">
        <f>IF(Criterios!B48="","",Criterios!B48)</f>
        <v/>
      </c>
      <c r="B203">
        <f>IF(Criterios!B48="","",Criterios!D48/100)</f>
        <v/>
      </c>
      <c r="C203">
        <f>IF(Criterios!B48="","",'Necesitas_Mejorar')</f>
        <v/>
      </c>
      <c r="D203">
        <f>IF(Criterios!B48="","",Criterios!F48)</f>
        <v/>
      </c>
      <c r="E203">
        <f>IF(Criterios!B48="","",25)</f>
        <v/>
      </c>
      <c r="F203">
        <f>IF(Criterios!B48="","",Criterios!A48)</f>
        <v/>
      </c>
      <c r="G203">
        <f>IF(Criterios!B48="","",48)</f>
        <v/>
      </c>
    </row>
    <row r="204">
      <c r="A204">
        <f>IF(Criterios!B48="","",Criterios!B48)</f>
        <v/>
      </c>
      <c r="B204">
        <f>IF(Criterios!B48="","",Criterios!D48/100)</f>
        <v/>
      </c>
      <c r="C204">
        <f>IF(Criterios!B48="","",'Bueno')</f>
        <v/>
      </c>
      <c r="D204">
        <f>IF(Criterios!B48="","",Criterios!G48)</f>
        <v/>
      </c>
      <c r="E204">
        <f>IF(Criterios!B48="","",50)</f>
        <v/>
      </c>
      <c r="F204">
        <f>IF(Criterios!B48="","",Criterios!A48)</f>
        <v/>
      </c>
      <c r="G204">
        <f>IF(Criterios!B48="","",48)</f>
        <v/>
      </c>
    </row>
    <row r="205">
      <c r="A205">
        <f>IF(Criterios!B48="","",Criterios!B48)</f>
        <v/>
      </c>
      <c r="B205">
        <f>IF(Criterios!B48="","",Criterios!D48/100)</f>
        <v/>
      </c>
      <c r="C205">
        <f>IF(Criterios!B48="","",'Satisfactorio')</f>
        <v/>
      </c>
      <c r="D205">
        <f>IF(Criterios!B48="","",Criterios!H48)</f>
        <v/>
      </c>
      <c r="E205">
        <f>IF(Criterios!B48="","",75)</f>
        <v/>
      </c>
      <c r="F205">
        <f>IF(Criterios!B48="","",Criterios!A48)</f>
        <v/>
      </c>
      <c r="G205">
        <f>IF(Criterios!B48="","",48)</f>
        <v/>
      </c>
    </row>
    <row r="206">
      <c r="A206">
        <f>IF(Criterios!B48="","",Criterios!B48)</f>
        <v/>
      </c>
      <c r="B206">
        <f>IF(Criterios!B48="","",Criterios!D48/100)</f>
        <v/>
      </c>
      <c r="C206">
        <f>IF(Criterios!B48="","",'Excelente')</f>
        <v/>
      </c>
      <c r="D206">
        <f>IF(Criterios!B48="","",Criterios!I48)</f>
        <v/>
      </c>
      <c r="E206">
        <f>IF(Criterios!B48="","",100)</f>
        <v/>
      </c>
      <c r="F206">
        <f>IF(Criterios!B48="","",Criterios!A48)</f>
        <v/>
      </c>
      <c r="G206">
        <f>IF(Criterios!B48="","",48)</f>
        <v/>
      </c>
    </row>
    <row r="207">
      <c r="A207">
        <f>IF(Criterios!B49="","",Criterios!B49)</f>
        <v/>
      </c>
      <c r="B207">
        <f>IF(Criterios!B49="","",Criterios!D49/100)</f>
        <v/>
      </c>
      <c r="C207">
        <f>IF(Criterios!B49="","",'Insatisfactorio')</f>
        <v/>
      </c>
      <c r="D207">
        <f>IF(Criterios!B49="","",Criterios!E49)</f>
        <v/>
      </c>
      <c r="E207">
        <f>IF(Criterios!B49="","",0)</f>
        <v/>
      </c>
      <c r="F207">
        <f>IF(Criterios!B49="","",Criterios!A49)</f>
        <v/>
      </c>
      <c r="G207">
        <f>IF(Criterios!B49="","",49)</f>
        <v/>
      </c>
    </row>
    <row r="208">
      <c r="A208">
        <f>IF(Criterios!B49="","",Criterios!B49)</f>
        <v/>
      </c>
      <c r="B208">
        <f>IF(Criterios!B49="","",Criterios!D49/100)</f>
        <v/>
      </c>
      <c r="C208">
        <f>IF(Criterios!B49="","",'Necesitas_Mejorar')</f>
        <v/>
      </c>
      <c r="D208">
        <f>IF(Criterios!B49="","",Criterios!F49)</f>
        <v/>
      </c>
      <c r="E208">
        <f>IF(Criterios!B49="","",25)</f>
        <v/>
      </c>
      <c r="F208">
        <f>IF(Criterios!B49="","",Criterios!A49)</f>
        <v/>
      </c>
      <c r="G208">
        <f>IF(Criterios!B49="","",49)</f>
        <v/>
      </c>
    </row>
    <row r="209">
      <c r="A209">
        <f>IF(Criterios!B49="","",Criterios!B49)</f>
        <v/>
      </c>
      <c r="B209">
        <f>IF(Criterios!B49="","",Criterios!D49/100)</f>
        <v/>
      </c>
      <c r="C209">
        <f>IF(Criterios!B49="","",'Bueno')</f>
        <v/>
      </c>
      <c r="D209">
        <f>IF(Criterios!B49="","",Criterios!G49)</f>
        <v/>
      </c>
      <c r="E209">
        <f>IF(Criterios!B49="","",50)</f>
        <v/>
      </c>
      <c r="F209">
        <f>IF(Criterios!B49="","",Criterios!A49)</f>
        <v/>
      </c>
      <c r="G209">
        <f>IF(Criterios!B49="","",49)</f>
        <v/>
      </c>
    </row>
    <row r="210">
      <c r="A210">
        <f>IF(Criterios!B49="","",Criterios!B49)</f>
        <v/>
      </c>
      <c r="B210">
        <f>IF(Criterios!B49="","",Criterios!D49/100)</f>
        <v/>
      </c>
      <c r="C210">
        <f>IF(Criterios!B49="","",'Satisfactorio')</f>
        <v/>
      </c>
      <c r="D210">
        <f>IF(Criterios!B49="","",Criterios!H49)</f>
        <v/>
      </c>
      <c r="E210">
        <f>IF(Criterios!B49="","",75)</f>
        <v/>
      </c>
      <c r="F210">
        <f>IF(Criterios!B49="","",Criterios!A49)</f>
        <v/>
      </c>
      <c r="G210">
        <f>IF(Criterios!B49="","",49)</f>
        <v/>
      </c>
    </row>
    <row r="211">
      <c r="A211">
        <f>IF(Criterios!B49="","",Criterios!B49)</f>
        <v/>
      </c>
      <c r="B211">
        <f>IF(Criterios!B49="","",Criterios!D49/100)</f>
        <v/>
      </c>
      <c r="C211">
        <f>IF(Criterios!B49="","",'Excelente')</f>
        <v/>
      </c>
      <c r="D211">
        <f>IF(Criterios!B49="","",Criterios!I49)</f>
        <v/>
      </c>
      <c r="E211">
        <f>IF(Criterios!B49="","",100)</f>
        <v/>
      </c>
      <c r="F211">
        <f>IF(Criterios!B49="","",Criterios!A49)</f>
        <v/>
      </c>
      <c r="G211">
        <f>IF(Criterios!B49="","",49)</f>
        <v/>
      </c>
    </row>
    <row r="212">
      <c r="A212">
        <f>IF(Criterios!B50="","",Criterios!B50)</f>
        <v/>
      </c>
      <c r="B212">
        <f>IF(Criterios!B50="","",Criterios!D50/100)</f>
        <v/>
      </c>
      <c r="C212">
        <f>IF(Criterios!B50="","",'Insatisfactorio')</f>
        <v/>
      </c>
      <c r="D212">
        <f>IF(Criterios!B50="","",Criterios!E50)</f>
        <v/>
      </c>
      <c r="E212">
        <f>IF(Criterios!B50="","",0)</f>
        <v/>
      </c>
      <c r="F212">
        <f>IF(Criterios!B50="","",Criterios!A50)</f>
        <v/>
      </c>
      <c r="G212">
        <f>IF(Criterios!B50="","",50)</f>
        <v/>
      </c>
    </row>
    <row r="213">
      <c r="A213">
        <f>IF(Criterios!B50="","",Criterios!B50)</f>
        <v/>
      </c>
      <c r="B213">
        <f>IF(Criterios!B50="","",Criterios!D50/100)</f>
        <v/>
      </c>
      <c r="C213">
        <f>IF(Criterios!B50="","",'Necesitas_Mejorar')</f>
        <v/>
      </c>
      <c r="D213">
        <f>IF(Criterios!B50="","",Criterios!F50)</f>
        <v/>
      </c>
      <c r="E213">
        <f>IF(Criterios!B50="","",25)</f>
        <v/>
      </c>
      <c r="F213">
        <f>IF(Criterios!B50="","",Criterios!A50)</f>
        <v/>
      </c>
      <c r="G213">
        <f>IF(Criterios!B50="","",50)</f>
        <v/>
      </c>
    </row>
    <row r="214">
      <c r="A214">
        <f>IF(Criterios!B50="","",Criterios!B50)</f>
        <v/>
      </c>
      <c r="B214">
        <f>IF(Criterios!B50="","",Criterios!D50/100)</f>
        <v/>
      </c>
      <c r="C214">
        <f>IF(Criterios!B50="","",'Bueno')</f>
        <v/>
      </c>
      <c r="D214">
        <f>IF(Criterios!B50="","",Criterios!G50)</f>
        <v/>
      </c>
      <c r="E214">
        <f>IF(Criterios!B50="","",50)</f>
        <v/>
      </c>
      <c r="F214">
        <f>IF(Criterios!B50="","",Criterios!A50)</f>
        <v/>
      </c>
      <c r="G214">
        <f>IF(Criterios!B50="","",50)</f>
        <v/>
      </c>
    </row>
    <row r="215">
      <c r="A215">
        <f>IF(Criterios!B50="","",Criterios!B50)</f>
        <v/>
      </c>
      <c r="B215">
        <f>IF(Criterios!B50="","",Criterios!D50/100)</f>
        <v/>
      </c>
      <c r="C215">
        <f>IF(Criterios!B50="","",'Satisfactorio')</f>
        <v/>
      </c>
      <c r="D215">
        <f>IF(Criterios!B50="","",Criterios!H50)</f>
        <v/>
      </c>
      <c r="E215">
        <f>IF(Criterios!B50="","",75)</f>
        <v/>
      </c>
      <c r="F215">
        <f>IF(Criterios!B50="","",Criterios!A50)</f>
        <v/>
      </c>
      <c r="G215">
        <f>IF(Criterios!B50="","",50)</f>
        <v/>
      </c>
    </row>
    <row r="216">
      <c r="A216">
        <f>IF(Criterios!B50="","",Criterios!B50)</f>
        <v/>
      </c>
      <c r="B216">
        <f>IF(Criterios!B50="","",Criterios!D50/100)</f>
        <v/>
      </c>
      <c r="C216">
        <f>IF(Criterios!B50="","",'Excelente')</f>
        <v/>
      </c>
      <c r="D216">
        <f>IF(Criterios!B50="","",Criterios!I50)</f>
        <v/>
      </c>
      <c r="E216">
        <f>IF(Criterios!B50="","",100)</f>
        <v/>
      </c>
      <c r="F216">
        <f>IF(Criterios!B50="","",Criterios!A50)</f>
        <v/>
      </c>
      <c r="G216">
        <f>IF(Criterios!B50="","",50)</f>
        <v/>
      </c>
    </row>
    <row r="217">
      <c r="A217">
        <f>IF(Criterios!B51="","",Criterios!B51)</f>
        <v/>
      </c>
      <c r="B217">
        <f>IF(Criterios!B51="","",Criterios!D51/100)</f>
        <v/>
      </c>
      <c r="C217">
        <f>IF(Criterios!B51="","",'Insatisfactorio')</f>
        <v/>
      </c>
      <c r="D217">
        <f>IF(Criterios!B51="","",Criterios!E51)</f>
        <v/>
      </c>
      <c r="E217">
        <f>IF(Criterios!B51="","",0)</f>
        <v/>
      </c>
      <c r="F217">
        <f>IF(Criterios!B51="","",Criterios!A51)</f>
        <v/>
      </c>
      <c r="G217">
        <f>IF(Criterios!B51="","",51)</f>
        <v/>
      </c>
    </row>
    <row r="218">
      <c r="A218">
        <f>IF(Criterios!B51="","",Criterios!B51)</f>
        <v/>
      </c>
      <c r="B218">
        <f>IF(Criterios!B51="","",Criterios!D51/100)</f>
        <v/>
      </c>
      <c r="C218">
        <f>IF(Criterios!B51="","",'Necesitas_Mejorar')</f>
        <v/>
      </c>
      <c r="D218">
        <f>IF(Criterios!B51="","",Criterios!F51)</f>
        <v/>
      </c>
      <c r="E218">
        <f>IF(Criterios!B51="","",25)</f>
        <v/>
      </c>
      <c r="F218">
        <f>IF(Criterios!B51="","",Criterios!A51)</f>
        <v/>
      </c>
      <c r="G218">
        <f>IF(Criterios!B51="","",51)</f>
        <v/>
      </c>
    </row>
    <row r="219">
      <c r="A219">
        <f>IF(Criterios!B51="","",Criterios!B51)</f>
        <v/>
      </c>
      <c r="B219">
        <f>IF(Criterios!B51="","",Criterios!D51/100)</f>
        <v/>
      </c>
      <c r="C219">
        <f>IF(Criterios!B51="","",'Bueno')</f>
        <v/>
      </c>
      <c r="D219">
        <f>IF(Criterios!B51="","",Criterios!G51)</f>
        <v/>
      </c>
      <c r="E219">
        <f>IF(Criterios!B51="","",50)</f>
        <v/>
      </c>
      <c r="F219">
        <f>IF(Criterios!B51="","",Criterios!A51)</f>
        <v/>
      </c>
      <c r="G219">
        <f>IF(Criterios!B51="","",51)</f>
        <v/>
      </c>
    </row>
    <row r="220">
      <c r="A220">
        <f>IF(Criterios!B51="","",Criterios!B51)</f>
        <v/>
      </c>
      <c r="B220">
        <f>IF(Criterios!B51="","",Criterios!D51/100)</f>
        <v/>
      </c>
      <c r="C220">
        <f>IF(Criterios!B51="","",'Satisfactorio')</f>
        <v/>
      </c>
      <c r="D220">
        <f>IF(Criterios!B51="","",Criterios!H51)</f>
        <v/>
      </c>
      <c r="E220">
        <f>IF(Criterios!B51="","",75)</f>
        <v/>
      </c>
      <c r="F220">
        <f>IF(Criterios!B51="","",Criterios!A51)</f>
        <v/>
      </c>
      <c r="G220">
        <f>IF(Criterios!B51="","",51)</f>
        <v/>
      </c>
    </row>
    <row r="221">
      <c r="A221">
        <f>IF(Criterios!B51="","",Criterios!B51)</f>
        <v/>
      </c>
      <c r="B221">
        <f>IF(Criterios!B51="","",Criterios!D51/100)</f>
        <v/>
      </c>
      <c r="C221">
        <f>IF(Criterios!B51="","",'Excelente')</f>
        <v/>
      </c>
      <c r="D221">
        <f>IF(Criterios!B51="","",Criterios!I51)</f>
        <v/>
      </c>
      <c r="E221">
        <f>IF(Criterios!B51="","",100)</f>
        <v/>
      </c>
      <c r="F221">
        <f>IF(Criterios!B51="","",Criterios!A51)</f>
        <v/>
      </c>
      <c r="G221">
        <f>IF(Criterios!B51="","",51)</f>
        <v/>
      </c>
    </row>
    <row r="222">
      <c r="A222">
        <f>IF(Criterios!B52="","",Criterios!B52)</f>
        <v/>
      </c>
      <c r="B222">
        <f>IF(Criterios!B52="","",Criterios!D52/100)</f>
        <v/>
      </c>
      <c r="C222">
        <f>IF(Criterios!B52="","",'Insatisfactorio')</f>
        <v/>
      </c>
      <c r="D222">
        <f>IF(Criterios!B52="","",Criterios!E52)</f>
        <v/>
      </c>
      <c r="E222">
        <f>IF(Criterios!B52="","",0)</f>
        <v/>
      </c>
      <c r="F222">
        <f>IF(Criterios!B52="","",Criterios!A52)</f>
        <v/>
      </c>
      <c r="G222">
        <f>IF(Criterios!B52="","",52)</f>
        <v/>
      </c>
    </row>
    <row r="223">
      <c r="A223">
        <f>IF(Criterios!B52="","",Criterios!B52)</f>
        <v/>
      </c>
      <c r="B223">
        <f>IF(Criterios!B52="","",Criterios!D52/100)</f>
        <v/>
      </c>
      <c r="C223">
        <f>IF(Criterios!B52="","",'Necesitas_Mejorar')</f>
        <v/>
      </c>
      <c r="D223">
        <f>IF(Criterios!B52="","",Criterios!F52)</f>
        <v/>
      </c>
      <c r="E223">
        <f>IF(Criterios!B52="","",25)</f>
        <v/>
      </c>
      <c r="F223">
        <f>IF(Criterios!B52="","",Criterios!A52)</f>
        <v/>
      </c>
      <c r="G223">
        <f>IF(Criterios!B52="","",52)</f>
        <v/>
      </c>
    </row>
    <row r="224">
      <c r="A224">
        <f>IF(Criterios!B52="","",Criterios!B52)</f>
        <v/>
      </c>
      <c r="B224">
        <f>IF(Criterios!B52="","",Criterios!D52/100)</f>
        <v/>
      </c>
      <c r="C224">
        <f>IF(Criterios!B52="","",'Bueno')</f>
        <v/>
      </c>
      <c r="D224">
        <f>IF(Criterios!B52="","",Criterios!G52)</f>
        <v/>
      </c>
      <c r="E224">
        <f>IF(Criterios!B52="","",50)</f>
        <v/>
      </c>
      <c r="F224">
        <f>IF(Criterios!B52="","",Criterios!A52)</f>
        <v/>
      </c>
      <c r="G224">
        <f>IF(Criterios!B52="","",52)</f>
        <v/>
      </c>
    </row>
    <row r="225">
      <c r="A225">
        <f>IF(Criterios!B52="","",Criterios!B52)</f>
        <v/>
      </c>
      <c r="B225">
        <f>IF(Criterios!B52="","",Criterios!D52/100)</f>
        <v/>
      </c>
      <c r="C225">
        <f>IF(Criterios!B52="","",'Satisfactorio')</f>
        <v/>
      </c>
      <c r="D225">
        <f>IF(Criterios!B52="","",Criterios!H52)</f>
        <v/>
      </c>
      <c r="E225">
        <f>IF(Criterios!B52="","",75)</f>
        <v/>
      </c>
      <c r="F225">
        <f>IF(Criterios!B52="","",Criterios!A52)</f>
        <v/>
      </c>
      <c r="G225">
        <f>IF(Criterios!B52="","",52)</f>
        <v/>
      </c>
    </row>
    <row r="226">
      <c r="A226">
        <f>IF(Criterios!B52="","",Criterios!B52)</f>
        <v/>
      </c>
      <c r="B226">
        <f>IF(Criterios!B52="","",Criterios!D52/100)</f>
        <v/>
      </c>
      <c r="C226">
        <f>IF(Criterios!B52="","",'Excelente')</f>
        <v/>
      </c>
      <c r="D226">
        <f>IF(Criterios!B52="","",Criterios!I52)</f>
        <v/>
      </c>
      <c r="E226">
        <f>IF(Criterios!B52="","",100)</f>
        <v/>
      </c>
      <c r="F226">
        <f>IF(Criterios!B52="","",Criterios!A52)</f>
        <v/>
      </c>
      <c r="G226">
        <f>IF(Criterios!B52="","",52)</f>
        <v/>
      </c>
    </row>
    <row r="227">
      <c r="A227">
        <f>IF(Criterios!B53="","",Criterios!B53)</f>
        <v/>
      </c>
      <c r="B227">
        <f>IF(Criterios!B53="","",Criterios!D53/100)</f>
        <v/>
      </c>
      <c r="C227">
        <f>IF(Criterios!B53="","",'Insatisfactorio')</f>
        <v/>
      </c>
      <c r="D227">
        <f>IF(Criterios!B53="","",Criterios!E53)</f>
        <v/>
      </c>
      <c r="E227">
        <f>IF(Criterios!B53="","",0)</f>
        <v/>
      </c>
      <c r="F227">
        <f>IF(Criterios!B53="","",Criterios!A53)</f>
        <v/>
      </c>
      <c r="G227">
        <f>IF(Criterios!B53="","",53)</f>
        <v/>
      </c>
    </row>
    <row r="228">
      <c r="A228">
        <f>IF(Criterios!B53="","",Criterios!B53)</f>
        <v/>
      </c>
      <c r="B228">
        <f>IF(Criterios!B53="","",Criterios!D53/100)</f>
        <v/>
      </c>
      <c r="C228">
        <f>IF(Criterios!B53="","",'Necesitas_Mejorar')</f>
        <v/>
      </c>
      <c r="D228">
        <f>IF(Criterios!B53="","",Criterios!F53)</f>
        <v/>
      </c>
      <c r="E228">
        <f>IF(Criterios!B53="","",25)</f>
        <v/>
      </c>
      <c r="F228">
        <f>IF(Criterios!B53="","",Criterios!A53)</f>
        <v/>
      </c>
      <c r="G228">
        <f>IF(Criterios!B53="","",53)</f>
        <v/>
      </c>
    </row>
    <row r="229">
      <c r="A229">
        <f>IF(Criterios!B53="","",Criterios!B53)</f>
        <v/>
      </c>
      <c r="B229">
        <f>IF(Criterios!B53="","",Criterios!D53/100)</f>
        <v/>
      </c>
      <c r="C229">
        <f>IF(Criterios!B53="","",'Bueno')</f>
        <v/>
      </c>
      <c r="D229">
        <f>IF(Criterios!B53="","",Criterios!G53)</f>
        <v/>
      </c>
      <c r="E229">
        <f>IF(Criterios!B53="","",50)</f>
        <v/>
      </c>
      <c r="F229">
        <f>IF(Criterios!B53="","",Criterios!A53)</f>
        <v/>
      </c>
      <c r="G229">
        <f>IF(Criterios!B53="","",53)</f>
        <v/>
      </c>
    </row>
    <row r="230">
      <c r="A230">
        <f>IF(Criterios!B53="","",Criterios!B53)</f>
        <v/>
      </c>
      <c r="B230">
        <f>IF(Criterios!B53="","",Criterios!D53/100)</f>
        <v/>
      </c>
      <c r="C230">
        <f>IF(Criterios!B53="","",'Satisfactorio')</f>
        <v/>
      </c>
      <c r="D230">
        <f>IF(Criterios!B53="","",Criterios!H53)</f>
        <v/>
      </c>
      <c r="E230">
        <f>IF(Criterios!B53="","",75)</f>
        <v/>
      </c>
      <c r="F230">
        <f>IF(Criterios!B53="","",Criterios!A53)</f>
        <v/>
      </c>
      <c r="G230">
        <f>IF(Criterios!B53="","",53)</f>
        <v/>
      </c>
    </row>
    <row r="231">
      <c r="A231">
        <f>IF(Criterios!B53="","",Criterios!B53)</f>
        <v/>
      </c>
      <c r="B231">
        <f>IF(Criterios!B53="","",Criterios!D53/100)</f>
        <v/>
      </c>
      <c r="C231">
        <f>IF(Criterios!B53="","",'Excelente')</f>
        <v/>
      </c>
      <c r="D231">
        <f>IF(Criterios!B53="","",Criterios!I53)</f>
        <v/>
      </c>
      <c r="E231">
        <f>IF(Criterios!B53="","",100)</f>
        <v/>
      </c>
      <c r="F231">
        <f>IF(Criterios!B53="","",Criterios!A53)</f>
        <v/>
      </c>
      <c r="G231">
        <f>IF(Criterios!B53="","",53)</f>
        <v/>
      </c>
    </row>
    <row r="232">
      <c r="A232">
        <f>IF(Criterios!B54="","",Criterios!B54)</f>
        <v/>
      </c>
      <c r="B232">
        <f>IF(Criterios!B54="","",Criterios!D54/100)</f>
        <v/>
      </c>
      <c r="C232">
        <f>IF(Criterios!B54="","",'Insatisfactorio')</f>
        <v/>
      </c>
      <c r="D232">
        <f>IF(Criterios!B54="","",Criterios!E54)</f>
        <v/>
      </c>
      <c r="E232">
        <f>IF(Criterios!B54="","",0)</f>
        <v/>
      </c>
      <c r="F232">
        <f>IF(Criterios!B54="","",Criterios!A54)</f>
        <v/>
      </c>
      <c r="G232">
        <f>IF(Criterios!B54="","",54)</f>
        <v/>
      </c>
    </row>
    <row r="233">
      <c r="A233">
        <f>IF(Criterios!B54="","",Criterios!B54)</f>
        <v/>
      </c>
      <c r="B233">
        <f>IF(Criterios!B54="","",Criterios!D54/100)</f>
        <v/>
      </c>
      <c r="C233">
        <f>IF(Criterios!B54="","",'Necesitas_Mejorar')</f>
        <v/>
      </c>
      <c r="D233">
        <f>IF(Criterios!B54="","",Criterios!F54)</f>
        <v/>
      </c>
      <c r="E233">
        <f>IF(Criterios!B54="","",25)</f>
        <v/>
      </c>
      <c r="F233">
        <f>IF(Criterios!B54="","",Criterios!A54)</f>
        <v/>
      </c>
      <c r="G233">
        <f>IF(Criterios!B54="","",54)</f>
        <v/>
      </c>
    </row>
    <row r="234">
      <c r="A234">
        <f>IF(Criterios!B54="","",Criterios!B54)</f>
        <v/>
      </c>
      <c r="B234">
        <f>IF(Criterios!B54="","",Criterios!D54/100)</f>
        <v/>
      </c>
      <c r="C234">
        <f>IF(Criterios!B54="","",'Bueno')</f>
        <v/>
      </c>
      <c r="D234">
        <f>IF(Criterios!B54="","",Criterios!G54)</f>
        <v/>
      </c>
      <c r="E234">
        <f>IF(Criterios!B54="","",50)</f>
        <v/>
      </c>
      <c r="F234">
        <f>IF(Criterios!B54="","",Criterios!A54)</f>
        <v/>
      </c>
      <c r="G234">
        <f>IF(Criterios!B54="","",54)</f>
        <v/>
      </c>
    </row>
    <row r="235">
      <c r="A235">
        <f>IF(Criterios!B54="","",Criterios!B54)</f>
        <v/>
      </c>
      <c r="B235">
        <f>IF(Criterios!B54="","",Criterios!D54/100)</f>
        <v/>
      </c>
      <c r="C235">
        <f>IF(Criterios!B54="","",'Satisfactorio')</f>
        <v/>
      </c>
      <c r="D235">
        <f>IF(Criterios!B54="","",Criterios!H54)</f>
        <v/>
      </c>
      <c r="E235">
        <f>IF(Criterios!B54="","",75)</f>
        <v/>
      </c>
      <c r="F235">
        <f>IF(Criterios!B54="","",Criterios!A54)</f>
        <v/>
      </c>
      <c r="G235">
        <f>IF(Criterios!B54="","",54)</f>
        <v/>
      </c>
    </row>
    <row r="236">
      <c r="A236">
        <f>IF(Criterios!B54="","",Criterios!B54)</f>
        <v/>
      </c>
      <c r="B236">
        <f>IF(Criterios!B54="","",Criterios!D54/100)</f>
        <v/>
      </c>
      <c r="C236">
        <f>IF(Criterios!B54="","",'Excelente')</f>
        <v/>
      </c>
      <c r="D236">
        <f>IF(Criterios!B54="","",Criterios!I54)</f>
        <v/>
      </c>
      <c r="E236">
        <f>IF(Criterios!B54="","",100)</f>
        <v/>
      </c>
      <c r="F236">
        <f>IF(Criterios!B54="","",Criterios!A54)</f>
        <v/>
      </c>
      <c r="G236">
        <f>IF(Criterios!B54="","",54)</f>
        <v/>
      </c>
    </row>
    <row r="237">
      <c r="A237">
        <f>IF(Criterios!B55="","",Criterios!B55)</f>
        <v/>
      </c>
      <c r="B237">
        <f>IF(Criterios!B55="","",Criterios!D55/100)</f>
        <v/>
      </c>
      <c r="C237">
        <f>IF(Criterios!B55="","",'Insatisfactorio')</f>
        <v/>
      </c>
      <c r="D237">
        <f>IF(Criterios!B55="","",Criterios!E55)</f>
        <v/>
      </c>
      <c r="E237">
        <f>IF(Criterios!B55="","",0)</f>
        <v/>
      </c>
      <c r="F237">
        <f>IF(Criterios!B55="","",Criterios!A55)</f>
        <v/>
      </c>
      <c r="G237">
        <f>IF(Criterios!B55="","",55)</f>
        <v/>
      </c>
    </row>
    <row r="238">
      <c r="A238">
        <f>IF(Criterios!B55="","",Criterios!B55)</f>
        <v/>
      </c>
      <c r="B238">
        <f>IF(Criterios!B55="","",Criterios!D55/100)</f>
        <v/>
      </c>
      <c r="C238">
        <f>IF(Criterios!B55="","",'Necesitas_Mejorar')</f>
        <v/>
      </c>
      <c r="D238">
        <f>IF(Criterios!B55="","",Criterios!F55)</f>
        <v/>
      </c>
      <c r="E238">
        <f>IF(Criterios!B55="","",25)</f>
        <v/>
      </c>
      <c r="F238">
        <f>IF(Criterios!B55="","",Criterios!A55)</f>
        <v/>
      </c>
      <c r="G238">
        <f>IF(Criterios!B55="","",55)</f>
        <v/>
      </c>
    </row>
    <row r="239">
      <c r="A239">
        <f>IF(Criterios!B55="","",Criterios!B55)</f>
        <v/>
      </c>
      <c r="B239">
        <f>IF(Criterios!B55="","",Criterios!D55/100)</f>
        <v/>
      </c>
      <c r="C239">
        <f>IF(Criterios!B55="","",'Bueno')</f>
        <v/>
      </c>
      <c r="D239">
        <f>IF(Criterios!B55="","",Criterios!G55)</f>
        <v/>
      </c>
      <c r="E239">
        <f>IF(Criterios!B55="","",50)</f>
        <v/>
      </c>
      <c r="F239">
        <f>IF(Criterios!B55="","",Criterios!A55)</f>
        <v/>
      </c>
      <c r="G239">
        <f>IF(Criterios!B55="","",55)</f>
        <v/>
      </c>
    </row>
    <row r="240">
      <c r="A240">
        <f>IF(Criterios!B55="","",Criterios!B55)</f>
        <v/>
      </c>
      <c r="B240">
        <f>IF(Criterios!B55="","",Criterios!D55/100)</f>
        <v/>
      </c>
      <c r="C240">
        <f>IF(Criterios!B55="","",'Satisfactorio')</f>
        <v/>
      </c>
      <c r="D240">
        <f>IF(Criterios!B55="","",Criterios!H55)</f>
        <v/>
      </c>
      <c r="E240">
        <f>IF(Criterios!B55="","",75)</f>
        <v/>
      </c>
      <c r="F240">
        <f>IF(Criterios!B55="","",Criterios!A55)</f>
        <v/>
      </c>
      <c r="G240">
        <f>IF(Criterios!B55="","",55)</f>
        <v/>
      </c>
    </row>
    <row r="241">
      <c r="A241">
        <f>IF(Criterios!B55="","",Criterios!B55)</f>
        <v/>
      </c>
      <c r="B241">
        <f>IF(Criterios!B55="","",Criterios!D55/100)</f>
        <v/>
      </c>
      <c r="C241">
        <f>IF(Criterios!B55="","",'Excelente')</f>
        <v/>
      </c>
      <c r="D241">
        <f>IF(Criterios!B55="","",Criterios!I55)</f>
        <v/>
      </c>
      <c r="E241">
        <f>IF(Criterios!B55="","",100)</f>
        <v/>
      </c>
      <c r="F241">
        <f>IF(Criterios!B55="","",Criterios!A55)</f>
        <v/>
      </c>
      <c r="G241">
        <f>IF(Criterios!B55="","",55)</f>
        <v/>
      </c>
    </row>
    <row r="242">
      <c r="A242">
        <f>IF(Criterios!B56="","",Criterios!B56)</f>
        <v/>
      </c>
      <c r="B242">
        <f>IF(Criterios!B56="","",Criterios!D56/100)</f>
        <v/>
      </c>
      <c r="C242">
        <f>IF(Criterios!B56="","",'Insatisfactorio')</f>
        <v/>
      </c>
      <c r="D242">
        <f>IF(Criterios!B56="","",Criterios!E56)</f>
        <v/>
      </c>
      <c r="E242">
        <f>IF(Criterios!B56="","",0)</f>
        <v/>
      </c>
      <c r="F242">
        <f>IF(Criterios!B56="","",Criterios!A56)</f>
        <v/>
      </c>
      <c r="G242">
        <f>IF(Criterios!B56="","",56)</f>
        <v/>
      </c>
    </row>
    <row r="243">
      <c r="A243">
        <f>IF(Criterios!B56="","",Criterios!B56)</f>
        <v/>
      </c>
      <c r="B243">
        <f>IF(Criterios!B56="","",Criterios!D56/100)</f>
        <v/>
      </c>
      <c r="C243">
        <f>IF(Criterios!B56="","",'Necesitas_Mejorar')</f>
        <v/>
      </c>
      <c r="D243">
        <f>IF(Criterios!B56="","",Criterios!F56)</f>
        <v/>
      </c>
      <c r="E243">
        <f>IF(Criterios!B56="","",25)</f>
        <v/>
      </c>
      <c r="F243">
        <f>IF(Criterios!B56="","",Criterios!A56)</f>
        <v/>
      </c>
      <c r="G243">
        <f>IF(Criterios!B56="","",56)</f>
        <v/>
      </c>
    </row>
    <row r="244">
      <c r="A244">
        <f>IF(Criterios!B56="","",Criterios!B56)</f>
        <v/>
      </c>
      <c r="B244">
        <f>IF(Criterios!B56="","",Criterios!D56/100)</f>
        <v/>
      </c>
      <c r="C244">
        <f>IF(Criterios!B56="","",'Bueno')</f>
        <v/>
      </c>
      <c r="D244">
        <f>IF(Criterios!B56="","",Criterios!G56)</f>
        <v/>
      </c>
      <c r="E244">
        <f>IF(Criterios!B56="","",50)</f>
        <v/>
      </c>
      <c r="F244">
        <f>IF(Criterios!B56="","",Criterios!A56)</f>
        <v/>
      </c>
      <c r="G244">
        <f>IF(Criterios!B56="","",56)</f>
        <v/>
      </c>
    </row>
    <row r="245">
      <c r="A245">
        <f>IF(Criterios!B56="","",Criterios!B56)</f>
        <v/>
      </c>
      <c r="B245">
        <f>IF(Criterios!B56="","",Criterios!D56/100)</f>
        <v/>
      </c>
      <c r="C245">
        <f>IF(Criterios!B56="","",'Satisfactorio')</f>
        <v/>
      </c>
      <c r="D245">
        <f>IF(Criterios!B56="","",Criterios!H56)</f>
        <v/>
      </c>
      <c r="E245">
        <f>IF(Criterios!B56="","",75)</f>
        <v/>
      </c>
      <c r="F245">
        <f>IF(Criterios!B56="","",Criterios!A56)</f>
        <v/>
      </c>
      <c r="G245">
        <f>IF(Criterios!B56="","",56)</f>
        <v/>
      </c>
    </row>
    <row r="246">
      <c r="A246">
        <f>IF(Criterios!B56="","",Criterios!B56)</f>
        <v/>
      </c>
      <c r="B246">
        <f>IF(Criterios!B56="","",Criterios!D56/100)</f>
        <v/>
      </c>
      <c r="C246">
        <f>IF(Criterios!B56="","",'Excelente')</f>
        <v/>
      </c>
      <c r="D246">
        <f>IF(Criterios!B56="","",Criterios!I56)</f>
        <v/>
      </c>
      <c r="E246">
        <f>IF(Criterios!B56="","",100)</f>
        <v/>
      </c>
      <c r="F246">
        <f>IF(Criterios!B56="","",Criterios!A56)</f>
        <v/>
      </c>
      <c r="G246">
        <f>IF(Criterios!B56="","",56)</f>
        <v/>
      </c>
    </row>
    <row r="247">
      <c r="A247">
        <f>IF(Criterios!B57="","",Criterios!B57)</f>
        <v/>
      </c>
      <c r="B247">
        <f>IF(Criterios!B57="","",Criterios!D57/100)</f>
        <v/>
      </c>
      <c r="C247">
        <f>IF(Criterios!B57="","",'Insatisfactorio')</f>
        <v/>
      </c>
      <c r="D247">
        <f>IF(Criterios!B57="","",Criterios!E57)</f>
        <v/>
      </c>
      <c r="E247">
        <f>IF(Criterios!B57="","",0)</f>
        <v/>
      </c>
      <c r="F247">
        <f>IF(Criterios!B57="","",Criterios!A57)</f>
        <v/>
      </c>
      <c r="G247">
        <f>IF(Criterios!B57="","",57)</f>
        <v/>
      </c>
    </row>
    <row r="248">
      <c r="A248">
        <f>IF(Criterios!B57="","",Criterios!B57)</f>
        <v/>
      </c>
      <c r="B248">
        <f>IF(Criterios!B57="","",Criterios!D57/100)</f>
        <v/>
      </c>
      <c r="C248">
        <f>IF(Criterios!B57="","",'Necesitas_Mejorar')</f>
        <v/>
      </c>
      <c r="D248">
        <f>IF(Criterios!B57="","",Criterios!F57)</f>
        <v/>
      </c>
      <c r="E248">
        <f>IF(Criterios!B57="","",25)</f>
        <v/>
      </c>
      <c r="F248">
        <f>IF(Criterios!B57="","",Criterios!A57)</f>
        <v/>
      </c>
      <c r="G248">
        <f>IF(Criterios!B57="","",57)</f>
        <v/>
      </c>
    </row>
    <row r="249">
      <c r="A249">
        <f>IF(Criterios!B57="","",Criterios!B57)</f>
        <v/>
      </c>
      <c r="B249">
        <f>IF(Criterios!B57="","",Criterios!D57/100)</f>
        <v/>
      </c>
      <c r="C249">
        <f>IF(Criterios!B57="","",'Bueno')</f>
        <v/>
      </c>
      <c r="D249">
        <f>IF(Criterios!B57="","",Criterios!G57)</f>
        <v/>
      </c>
      <c r="E249">
        <f>IF(Criterios!B57="","",50)</f>
        <v/>
      </c>
      <c r="F249">
        <f>IF(Criterios!B57="","",Criterios!A57)</f>
        <v/>
      </c>
      <c r="G249">
        <f>IF(Criterios!B57="","",57)</f>
        <v/>
      </c>
    </row>
    <row r="250">
      <c r="A250">
        <f>IF(Criterios!B57="","",Criterios!B57)</f>
        <v/>
      </c>
      <c r="B250">
        <f>IF(Criterios!B57="","",Criterios!D57/100)</f>
        <v/>
      </c>
      <c r="C250">
        <f>IF(Criterios!B57="","",'Satisfactorio')</f>
        <v/>
      </c>
      <c r="D250">
        <f>IF(Criterios!B57="","",Criterios!H57)</f>
        <v/>
      </c>
      <c r="E250">
        <f>IF(Criterios!B57="","",75)</f>
        <v/>
      </c>
      <c r="F250">
        <f>IF(Criterios!B57="","",Criterios!A57)</f>
        <v/>
      </c>
      <c r="G250">
        <f>IF(Criterios!B57="","",57)</f>
        <v/>
      </c>
    </row>
    <row r="251">
      <c r="A251">
        <f>IF(Criterios!B57="","",Criterios!B57)</f>
        <v/>
      </c>
      <c r="B251">
        <f>IF(Criterios!B57="","",Criterios!D57/100)</f>
        <v/>
      </c>
      <c r="C251">
        <f>IF(Criterios!B57="","",'Excelente')</f>
        <v/>
      </c>
      <c r="D251">
        <f>IF(Criterios!B57="","",Criterios!I57)</f>
        <v/>
      </c>
      <c r="E251">
        <f>IF(Criterios!B57="","",100)</f>
        <v/>
      </c>
      <c r="F251">
        <f>IF(Criterios!B57="","",Criterios!A57)</f>
        <v/>
      </c>
      <c r="G251">
        <f>IF(Criterios!B57="","",57)</f>
        <v/>
      </c>
    </row>
    <row r="252">
      <c r="A252">
        <f>IF(Criterios!B58="","",Criterios!B58)</f>
        <v/>
      </c>
      <c r="B252">
        <f>IF(Criterios!B58="","",Criterios!D58/100)</f>
        <v/>
      </c>
      <c r="C252">
        <f>IF(Criterios!B58="","",'Insatisfactorio')</f>
        <v/>
      </c>
      <c r="D252">
        <f>IF(Criterios!B58="","",Criterios!E58)</f>
        <v/>
      </c>
      <c r="E252">
        <f>IF(Criterios!B58="","",0)</f>
        <v/>
      </c>
      <c r="F252">
        <f>IF(Criterios!B58="","",Criterios!A58)</f>
        <v/>
      </c>
      <c r="G252">
        <f>IF(Criterios!B58="","",58)</f>
        <v/>
      </c>
    </row>
    <row r="253">
      <c r="A253">
        <f>IF(Criterios!B58="","",Criterios!B58)</f>
        <v/>
      </c>
      <c r="B253">
        <f>IF(Criterios!B58="","",Criterios!D58/100)</f>
        <v/>
      </c>
      <c r="C253">
        <f>IF(Criterios!B58="","",'Necesitas_Mejorar')</f>
        <v/>
      </c>
      <c r="D253">
        <f>IF(Criterios!B58="","",Criterios!F58)</f>
        <v/>
      </c>
      <c r="E253">
        <f>IF(Criterios!B58="","",25)</f>
        <v/>
      </c>
      <c r="F253">
        <f>IF(Criterios!B58="","",Criterios!A58)</f>
        <v/>
      </c>
      <c r="G253">
        <f>IF(Criterios!B58="","",58)</f>
        <v/>
      </c>
    </row>
    <row r="254">
      <c r="A254">
        <f>IF(Criterios!B58="","",Criterios!B58)</f>
        <v/>
      </c>
      <c r="B254">
        <f>IF(Criterios!B58="","",Criterios!D58/100)</f>
        <v/>
      </c>
      <c r="C254">
        <f>IF(Criterios!B58="","",'Bueno')</f>
        <v/>
      </c>
      <c r="D254">
        <f>IF(Criterios!B58="","",Criterios!G58)</f>
        <v/>
      </c>
      <c r="E254">
        <f>IF(Criterios!B58="","",50)</f>
        <v/>
      </c>
      <c r="F254">
        <f>IF(Criterios!B58="","",Criterios!A58)</f>
        <v/>
      </c>
      <c r="G254">
        <f>IF(Criterios!B58="","",58)</f>
        <v/>
      </c>
    </row>
    <row r="255">
      <c r="A255">
        <f>IF(Criterios!B58="","",Criterios!B58)</f>
        <v/>
      </c>
      <c r="B255">
        <f>IF(Criterios!B58="","",Criterios!D58/100)</f>
        <v/>
      </c>
      <c r="C255">
        <f>IF(Criterios!B58="","",'Satisfactorio')</f>
        <v/>
      </c>
      <c r="D255">
        <f>IF(Criterios!B58="","",Criterios!H58)</f>
        <v/>
      </c>
      <c r="E255">
        <f>IF(Criterios!B58="","",75)</f>
        <v/>
      </c>
      <c r="F255">
        <f>IF(Criterios!B58="","",Criterios!A58)</f>
        <v/>
      </c>
      <c r="G255">
        <f>IF(Criterios!B58="","",58)</f>
        <v/>
      </c>
    </row>
    <row r="256">
      <c r="A256">
        <f>IF(Criterios!B58="","",Criterios!B58)</f>
        <v/>
      </c>
      <c r="B256">
        <f>IF(Criterios!B58="","",Criterios!D58/100)</f>
        <v/>
      </c>
      <c r="C256">
        <f>IF(Criterios!B58="","",'Excelente')</f>
        <v/>
      </c>
      <c r="D256">
        <f>IF(Criterios!B58="","",Criterios!I58)</f>
        <v/>
      </c>
      <c r="E256">
        <f>IF(Criterios!B58="","",100)</f>
        <v/>
      </c>
      <c r="F256">
        <f>IF(Criterios!B58="","",Criterios!A58)</f>
        <v/>
      </c>
      <c r="G256">
        <f>IF(Criterios!B58="","",58)</f>
        <v/>
      </c>
    </row>
    <row r="257">
      <c r="A257">
        <f>IF(Criterios!B59="","",Criterios!B59)</f>
        <v/>
      </c>
      <c r="B257">
        <f>IF(Criterios!B59="","",Criterios!D59/100)</f>
        <v/>
      </c>
      <c r="C257">
        <f>IF(Criterios!B59="","",'Insatisfactorio')</f>
        <v/>
      </c>
      <c r="D257">
        <f>IF(Criterios!B59="","",Criterios!E59)</f>
        <v/>
      </c>
      <c r="E257">
        <f>IF(Criterios!B59="","",0)</f>
        <v/>
      </c>
      <c r="F257">
        <f>IF(Criterios!B59="","",Criterios!A59)</f>
        <v/>
      </c>
      <c r="G257">
        <f>IF(Criterios!B59="","",59)</f>
        <v/>
      </c>
    </row>
    <row r="258">
      <c r="A258">
        <f>IF(Criterios!B59="","",Criterios!B59)</f>
        <v/>
      </c>
      <c r="B258">
        <f>IF(Criterios!B59="","",Criterios!D59/100)</f>
        <v/>
      </c>
      <c r="C258">
        <f>IF(Criterios!B59="","",'Necesitas_Mejorar')</f>
        <v/>
      </c>
      <c r="D258">
        <f>IF(Criterios!B59="","",Criterios!F59)</f>
        <v/>
      </c>
      <c r="E258">
        <f>IF(Criterios!B59="","",25)</f>
        <v/>
      </c>
      <c r="F258">
        <f>IF(Criterios!B59="","",Criterios!A59)</f>
        <v/>
      </c>
      <c r="G258">
        <f>IF(Criterios!B59="","",59)</f>
        <v/>
      </c>
    </row>
    <row r="259">
      <c r="A259">
        <f>IF(Criterios!B59="","",Criterios!B59)</f>
        <v/>
      </c>
      <c r="B259">
        <f>IF(Criterios!B59="","",Criterios!D59/100)</f>
        <v/>
      </c>
      <c r="C259">
        <f>IF(Criterios!B59="","",'Bueno')</f>
        <v/>
      </c>
      <c r="D259">
        <f>IF(Criterios!B59="","",Criterios!G59)</f>
        <v/>
      </c>
      <c r="E259">
        <f>IF(Criterios!B59="","",50)</f>
        <v/>
      </c>
      <c r="F259">
        <f>IF(Criterios!B59="","",Criterios!A59)</f>
        <v/>
      </c>
      <c r="G259">
        <f>IF(Criterios!B59="","",59)</f>
        <v/>
      </c>
    </row>
    <row r="260">
      <c r="A260">
        <f>IF(Criterios!B59="","",Criterios!B59)</f>
        <v/>
      </c>
      <c r="B260">
        <f>IF(Criterios!B59="","",Criterios!D59/100)</f>
        <v/>
      </c>
      <c r="C260">
        <f>IF(Criterios!B59="","",'Satisfactorio')</f>
        <v/>
      </c>
      <c r="D260">
        <f>IF(Criterios!B59="","",Criterios!H59)</f>
        <v/>
      </c>
      <c r="E260">
        <f>IF(Criterios!B59="","",75)</f>
        <v/>
      </c>
      <c r="F260">
        <f>IF(Criterios!B59="","",Criterios!A59)</f>
        <v/>
      </c>
      <c r="G260">
        <f>IF(Criterios!B59="","",59)</f>
        <v/>
      </c>
    </row>
    <row r="261">
      <c r="A261">
        <f>IF(Criterios!B59="","",Criterios!B59)</f>
        <v/>
      </c>
      <c r="B261">
        <f>IF(Criterios!B59="","",Criterios!D59/100)</f>
        <v/>
      </c>
      <c r="C261">
        <f>IF(Criterios!B59="","",'Excelente')</f>
        <v/>
      </c>
      <c r="D261">
        <f>IF(Criterios!B59="","",Criterios!I59)</f>
        <v/>
      </c>
      <c r="E261">
        <f>IF(Criterios!B59="","",100)</f>
        <v/>
      </c>
      <c r="F261">
        <f>IF(Criterios!B59="","",Criterios!A59)</f>
        <v/>
      </c>
      <c r="G261">
        <f>IF(Criterios!B59="","",59)</f>
        <v/>
      </c>
    </row>
    <row r="262">
      <c r="A262">
        <f>IF(Criterios!B60="","",Criterios!B60)</f>
        <v/>
      </c>
      <c r="B262">
        <f>IF(Criterios!B60="","",Criterios!D60/100)</f>
        <v/>
      </c>
      <c r="C262">
        <f>IF(Criterios!B60="","",'Insatisfactorio')</f>
        <v/>
      </c>
      <c r="D262">
        <f>IF(Criterios!B60="","",Criterios!E60)</f>
        <v/>
      </c>
      <c r="E262">
        <f>IF(Criterios!B60="","",0)</f>
        <v/>
      </c>
      <c r="F262">
        <f>IF(Criterios!B60="","",Criterios!A60)</f>
        <v/>
      </c>
      <c r="G262">
        <f>IF(Criterios!B60="","",60)</f>
        <v/>
      </c>
    </row>
    <row r="263">
      <c r="A263">
        <f>IF(Criterios!B60="","",Criterios!B60)</f>
        <v/>
      </c>
      <c r="B263">
        <f>IF(Criterios!B60="","",Criterios!D60/100)</f>
        <v/>
      </c>
      <c r="C263">
        <f>IF(Criterios!B60="","",'Necesitas_Mejorar')</f>
        <v/>
      </c>
      <c r="D263">
        <f>IF(Criterios!B60="","",Criterios!F60)</f>
        <v/>
      </c>
      <c r="E263">
        <f>IF(Criterios!B60="","",25)</f>
        <v/>
      </c>
      <c r="F263">
        <f>IF(Criterios!B60="","",Criterios!A60)</f>
        <v/>
      </c>
      <c r="G263">
        <f>IF(Criterios!B60="","",60)</f>
        <v/>
      </c>
    </row>
    <row r="264">
      <c r="A264">
        <f>IF(Criterios!B60="","",Criterios!B60)</f>
        <v/>
      </c>
      <c r="B264">
        <f>IF(Criterios!B60="","",Criterios!D60/100)</f>
        <v/>
      </c>
      <c r="C264">
        <f>IF(Criterios!B60="","",'Bueno')</f>
        <v/>
      </c>
      <c r="D264">
        <f>IF(Criterios!B60="","",Criterios!G60)</f>
        <v/>
      </c>
      <c r="E264">
        <f>IF(Criterios!B60="","",50)</f>
        <v/>
      </c>
      <c r="F264">
        <f>IF(Criterios!B60="","",Criterios!A60)</f>
        <v/>
      </c>
      <c r="G264">
        <f>IF(Criterios!B60="","",60)</f>
        <v/>
      </c>
    </row>
    <row r="265">
      <c r="A265">
        <f>IF(Criterios!B60="","",Criterios!B60)</f>
        <v/>
      </c>
      <c r="B265">
        <f>IF(Criterios!B60="","",Criterios!D60/100)</f>
        <v/>
      </c>
      <c r="C265">
        <f>IF(Criterios!B60="","",'Satisfactorio')</f>
        <v/>
      </c>
      <c r="D265">
        <f>IF(Criterios!B60="","",Criterios!H60)</f>
        <v/>
      </c>
      <c r="E265">
        <f>IF(Criterios!B60="","",75)</f>
        <v/>
      </c>
      <c r="F265">
        <f>IF(Criterios!B60="","",Criterios!A60)</f>
        <v/>
      </c>
      <c r="G265">
        <f>IF(Criterios!B60="","",60)</f>
        <v/>
      </c>
    </row>
    <row r="266">
      <c r="A266">
        <f>IF(Criterios!B60="","",Criterios!B60)</f>
        <v/>
      </c>
      <c r="B266">
        <f>IF(Criterios!B60="","",Criterios!D60/100)</f>
        <v/>
      </c>
      <c r="C266">
        <f>IF(Criterios!B60="","",'Excelente')</f>
        <v/>
      </c>
      <c r="D266">
        <f>IF(Criterios!B60="","",Criterios!I60)</f>
        <v/>
      </c>
      <c r="E266">
        <f>IF(Criterios!B60="","",100)</f>
        <v/>
      </c>
      <c r="F266">
        <f>IF(Criterios!B60="","",Criterios!A60)</f>
        <v/>
      </c>
      <c r="G266">
        <f>IF(Criterios!B60="","",60)</f>
        <v/>
      </c>
    </row>
    <row r="267">
      <c r="A267">
        <f>IF(Criterios!B61="","",Criterios!B61)</f>
        <v/>
      </c>
      <c r="B267">
        <f>IF(Criterios!B61="","",Criterios!D61/100)</f>
        <v/>
      </c>
      <c r="C267">
        <f>IF(Criterios!B61="","",'Insatisfactorio')</f>
        <v/>
      </c>
      <c r="D267">
        <f>IF(Criterios!B61="","",Criterios!E61)</f>
        <v/>
      </c>
      <c r="E267">
        <f>IF(Criterios!B61="","",0)</f>
        <v/>
      </c>
      <c r="F267">
        <f>IF(Criterios!B61="","",Criterios!A61)</f>
        <v/>
      </c>
      <c r="G267">
        <f>IF(Criterios!B61="","",61)</f>
        <v/>
      </c>
    </row>
    <row r="268">
      <c r="A268">
        <f>IF(Criterios!B61="","",Criterios!B61)</f>
        <v/>
      </c>
      <c r="B268">
        <f>IF(Criterios!B61="","",Criterios!D61/100)</f>
        <v/>
      </c>
      <c r="C268">
        <f>IF(Criterios!B61="","",'Necesitas_Mejorar')</f>
        <v/>
      </c>
      <c r="D268">
        <f>IF(Criterios!B61="","",Criterios!F61)</f>
        <v/>
      </c>
      <c r="E268">
        <f>IF(Criterios!B61="","",25)</f>
        <v/>
      </c>
      <c r="F268">
        <f>IF(Criterios!B61="","",Criterios!A61)</f>
        <v/>
      </c>
      <c r="G268">
        <f>IF(Criterios!B61="","",61)</f>
        <v/>
      </c>
    </row>
    <row r="269">
      <c r="A269">
        <f>IF(Criterios!B61="","",Criterios!B61)</f>
        <v/>
      </c>
      <c r="B269">
        <f>IF(Criterios!B61="","",Criterios!D61/100)</f>
        <v/>
      </c>
      <c r="C269">
        <f>IF(Criterios!B61="","",'Bueno')</f>
        <v/>
      </c>
      <c r="D269">
        <f>IF(Criterios!B61="","",Criterios!G61)</f>
        <v/>
      </c>
      <c r="E269">
        <f>IF(Criterios!B61="","",50)</f>
        <v/>
      </c>
      <c r="F269">
        <f>IF(Criterios!B61="","",Criterios!A61)</f>
        <v/>
      </c>
      <c r="G269">
        <f>IF(Criterios!B61="","",61)</f>
        <v/>
      </c>
    </row>
    <row r="270">
      <c r="A270">
        <f>IF(Criterios!B61="","",Criterios!B61)</f>
        <v/>
      </c>
      <c r="B270">
        <f>IF(Criterios!B61="","",Criterios!D61/100)</f>
        <v/>
      </c>
      <c r="C270">
        <f>IF(Criterios!B61="","",'Satisfactorio')</f>
        <v/>
      </c>
      <c r="D270">
        <f>IF(Criterios!B61="","",Criterios!H61)</f>
        <v/>
      </c>
      <c r="E270">
        <f>IF(Criterios!B61="","",75)</f>
        <v/>
      </c>
      <c r="F270">
        <f>IF(Criterios!B61="","",Criterios!A61)</f>
        <v/>
      </c>
      <c r="G270">
        <f>IF(Criterios!B61="","",61)</f>
        <v/>
      </c>
    </row>
    <row r="271">
      <c r="A271">
        <f>IF(Criterios!B61="","",Criterios!B61)</f>
        <v/>
      </c>
      <c r="B271">
        <f>IF(Criterios!B61="","",Criterios!D61/100)</f>
        <v/>
      </c>
      <c r="C271">
        <f>IF(Criterios!B61="","",'Excelente')</f>
        <v/>
      </c>
      <c r="D271">
        <f>IF(Criterios!B61="","",Criterios!I61)</f>
        <v/>
      </c>
      <c r="E271">
        <f>IF(Criterios!B61="","",100)</f>
        <v/>
      </c>
      <c r="F271">
        <f>IF(Criterios!B61="","",Criterios!A61)</f>
        <v/>
      </c>
      <c r="G271">
        <f>IF(Criterios!B61="","",61)</f>
        <v/>
      </c>
    </row>
    <row r="272">
      <c r="A272">
        <f>IF(Criterios!B62="","",Criterios!B62)</f>
        <v/>
      </c>
      <c r="B272">
        <f>IF(Criterios!B62="","",Criterios!D62/100)</f>
        <v/>
      </c>
      <c r="C272">
        <f>IF(Criterios!B62="","",'Insatisfactorio')</f>
        <v/>
      </c>
      <c r="D272">
        <f>IF(Criterios!B62="","",Criterios!E62)</f>
        <v/>
      </c>
      <c r="E272">
        <f>IF(Criterios!B62="","",0)</f>
        <v/>
      </c>
      <c r="F272">
        <f>IF(Criterios!B62="","",Criterios!A62)</f>
        <v/>
      </c>
      <c r="G272">
        <f>IF(Criterios!B62="","",62)</f>
        <v/>
      </c>
    </row>
    <row r="273">
      <c r="A273">
        <f>IF(Criterios!B62="","",Criterios!B62)</f>
        <v/>
      </c>
      <c r="B273">
        <f>IF(Criterios!B62="","",Criterios!D62/100)</f>
        <v/>
      </c>
      <c r="C273">
        <f>IF(Criterios!B62="","",'Necesitas_Mejorar')</f>
        <v/>
      </c>
      <c r="D273">
        <f>IF(Criterios!B62="","",Criterios!F62)</f>
        <v/>
      </c>
      <c r="E273">
        <f>IF(Criterios!B62="","",25)</f>
        <v/>
      </c>
      <c r="F273">
        <f>IF(Criterios!B62="","",Criterios!A62)</f>
        <v/>
      </c>
      <c r="G273">
        <f>IF(Criterios!B62="","",62)</f>
        <v/>
      </c>
    </row>
    <row r="274">
      <c r="A274">
        <f>IF(Criterios!B62="","",Criterios!B62)</f>
        <v/>
      </c>
      <c r="B274">
        <f>IF(Criterios!B62="","",Criterios!D62/100)</f>
        <v/>
      </c>
      <c r="C274">
        <f>IF(Criterios!B62="","",'Bueno')</f>
        <v/>
      </c>
      <c r="D274">
        <f>IF(Criterios!B62="","",Criterios!G62)</f>
        <v/>
      </c>
      <c r="E274">
        <f>IF(Criterios!B62="","",50)</f>
        <v/>
      </c>
      <c r="F274">
        <f>IF(Criterios!B62="","",Criterios!A62)</f>
        <v/>
      </c>
      <c r="G274">
        <f>IF(Criterios!B62="","",62)</f>
        <v/>
      </c>
    </row>
    <row r="275">
      <c r="A275">
        <f>IF(Criterios!B62="","",Criterios!B62)</f>
        <v/>
      </c>
      <c r="B275">
        <f>IF(Criterios!B62="","",Criterios!D62/100)</f>
        <v/>
      </c>
      <c r="C275">
        <f>IF(Criterios!B62="","",'Satisfactorio')</f>
        <v/>
      </c>
      <c r="D275">
        <f>IF(Criterios!B62="","",Criterios!H62)</f>
        <v/>
      </c>
      <c r="E275">
        <f>IF(Criterios!B62="","",75)</f>
        <v/>
      </c>
      <c r="F275">
        <f>IF(Criterios!B62="","",Criterios!A62)</f>
        <v/>
      </c>
      <c r="G275">
        <f>IF(Criterios!B62="","",62)</f>
        <v/>
      </c>
    </row>
    <row r="276">
      <c r="A276">
        <f>IF(Criterios!B62="","",Criterios!B62)</f>
        <v/>
      </c>
      <c r="B276">
        <f>IF(Criterios!B62="","",Criterios!D62/100)</f>
        <v/>
      </c>
      <c r="C276">
        <f>IF(Criterios!B62="","",'Excelente')</f>
        <v/>
      </c>
      <c r="D276">
        <f>IF(Criterios!B62="","",Criterios!I62)</f>
        <v/>
      </c>
      <c r="E276">
        <f>IF(Criterios!B62="","",100)</f>
        <v/>
      </c>
      <c r="F276">
        <f>IF(Criterios!B62="","",Criterios!A62)</f>
        <v/>
      </c>
      <c r="G276">
        <f>IF(Criterios!B62="","",62)</f>
        <v/>
      </c>
    </row>
    <row r="277">
      <c r="A277">
        <f>IF(Criterios!B63="","",Criterios!B63)</f>
        <v/>
      </c>
      <c r="B277">
        <f>IF(Criterios!B63="","",Criterios!D63/100)</f>
        <v/>
      </c>
      <c r="C277">
        <f>IF(Criterios!B63="","",'Insatisfactorio')</f>
        <v/>
      </c>
      <c r="D277">
        <f>IF(Criterios!B63="","",Criterios!E63)</f>
        <v/>
      </c>
      <c r="E277">
        <f>IF(Criterios!B63="","",0)</f>
        <v/>
      </c>
      <c r="F277">
        <f>IF(Criterios!B63="","",Criterios!A63)</f>
        <v/>
      </c>
      <c r="G277">
        <f>IF(Criterios!B63="","",63)</f>
        <v/>
      </c>
    </row>
    <row r="278">
      <c r="A278">
        <f>IF(Criterios!B63="","",Criterios!B63)</f>
        <v/>
      </c>
      <c r="B278">
        <f>IF(Criterios!B63="","",Criterios!D63/100)</f>
        <v/>
      </c>
      <c r="C278">
        <f>IF(Criterios!B63="","",'Necesitas_Mejorar')</f>
        <v/>
      </c>
      <c r="D278">
        <f>IF(Criterios!B63="","",Criterios!F63)</f>
        <v/>
      </c>
      <c r="E278">
        <f>IF(Criterios!B63="","",25)</f>
        <v/>
      </c>
      <c r="F278">
        <f>IF(Criterios!B63="","",Criterios!A63)</f>
        <v/>
      </c>
      <c r="G278">
        <f>IF(Criterios!B63="","",63)</f>
        <v/>
      </c>
    </row>
    <row r="279">
      <c r="A279">
        <f>IF(Criterios!B63="","",Criterios!B63)</f>
        <v/>
      </c>
      <c r="B279">
        <f>IF(Criterios!B63="","",Criterios!D63/100)</f>
        <v/>
      </c>
      <c r="C279">
        <f>IF(Criterios!B63="","",'Bueno')</f>
        <v/>
      </c>
      <c r="D279">
        <f>IF(Criterios!B63="","",Criterios!G63)</f>
        <v/>
      </c>
      <c r="E279">
        <f>IF(Criterios!B63="","",50)</f>
        <v/>
      </c>
      <c r="F279">
        <f>IF(Criterios!B63="","",Criterios!A63)</f>
        <v/>
      </c>
      <c r="G279">
        <f>IF(Criterios!B63="","",63)</f>
        <v/>
      </c>
    </row>
    <row r="280">
      <c r="A280">
        <f>IF(Criterios!B63="","",Criterios!B63)</f>
        <v/>
      </c>
      <c r="B280">
        <f>IF(Criterios!B63="","",Criterios!D63/100)</f>
        <v/>
      </c>
      <c r="C280">
        <f>IF(Criterios!B63="","",'Satisfactorio')</f>
        <v/>
      </c>
      <c r="D280">
        <f>IF(Criterios!B63="","",Criterios!H63)</f>
        <v/>
      </c>
      <c r="E280">
        <f>IF(Criterios!B63="","",75)</f>
        <v/>
      </c>
      <c r="F280">
        <f>IF(Criterios!B63="","",Criterios!A63)</f>
        <v/>
      </c>
      <c r="G280">
        <f>IF(Criterios!B63="","",63)</f>
        <v/>
      </c>
    </row>
    <row r="281">
      <c r="A281">
        <f>IF(Criterios!B63="","",Criterios!B63)</f>
        <v/>
      </c>
      <c r="B281">
        <f>IF(Criterios!B63="","",Criterios!D63/100)</f>
        <v/>
      </c>
      <c r="C281">
        <f>IF(Criterios!B63="","",'Excelente')</f>
        <v/>
      </c>
      <c r="D281">
        <f>IF(Criterios!B63="","",Criterios!I63)</f>
        <v/>
      </c>
      <c r="E281">
        <f>IF(Criterios!B63="","",100)</f>
        <v/>
      </c>
      <c r="F281">
        <f>IF(Criterios!B63="","",Criterios!A63)</f>
        <v/>
      </c>
      <c r="G281">
        <f>IF(Criterios!B63="","",63)</f>
        <v/>
      </c>
    </row>
    <row r="282">
      <c r="A282">
        <f>IF(Criterios!B64="","",Criterios!B64)</f>
        <v/>
      </c>
      <c r="B282">
        <f>IF(Criterios!B64="","",Criterios!D64/100)</f>
        <v/>
      </c>
      <c r="C282">
        <f>IF(Criterios!B64="","",'Insatisfactorio')</f>
        <v/>
      </c>
      <c r="D282">
        <f>IF(Criterios!B64="","",Criterios!E64)</f>
        <v/>
      </c>
      <c r="E282">
        <f>IF(Criterios!B64="","",0)</f>
        <v/>
      </c>
      <c r="F282">
        <f>IF(Criterios!B64="","",Criterios!A64)</f>
        <v/>
      </c>
      <c r="G282">
        <f>IF(Criterios!B64="","",64)</f>
        <v/>
      </c>
    </row>
    <row r="283">
      <c r="A283">
        <f>IF(Criterios!B64="","",Criterios!B64)</f>
        <v/>
      </c>
      <c r="B283">
        <f>IF(Criterios!B64="","",Criterios!D64/100)</f>
        <v/>
      </c>
      <c r="C283">
        <f>IF(Criterios!B64="","",'Necesitas_Mejorar')</f>
        <v/>
      </c>
      <c r="D283">
        <f>IF(Criterios!B64="","",Criterios!F64)</f>
        <v/>
      </c>
      <c r="E283">
        <f>IF(Criterios!B64="","",25)</f>
        <v/>
      </c>
      <c r="F283">
        <f>IF(Criterios!B64="","",Criterios!A64)</f>
        <v/>
      </c>
      <c r="G283">
        <f>IF(Criterios!B64="","",64)</f>
        <v/>
      </c>
    </row>
    <row r="284">
      <c r="A284">
        <f>IF(Criterios!B64="","",Criterios!B64)</f>
        <v/>
      </c>
      <c r="B284">
        <f>IF(Criterios!B64="","",Criterios!D64/100)</f>
        <v/>
      </c>
      <c r="C284">
        <f>IF(Criterios!B64="","",'Bueno')</f>
        <v/>
      </c>
      <c r="D284">
        <f>IF(Criterios!B64="","",Criterios!G64)</f>
        <v/>
      </c>
      <c r="E284">
        <f>IF(Criterios!B64="","",50)</f>
        <v/>
      </c>
      <c r="F284">
        <f>IF(Criterios!B64="","",Criterios!A64)</f>
        <v/>
      </c>
      <c r="G284">
        <f>IF(Criterios!B64="","",64)</f>
        <v/>
      </c>
    </row>
    <row r="285">
      <c r="A285">
        <f>IF(Criterios!B64="","",Criterios!B64)</f>
        <v/>
      </c>
      <c r="B285">
        <f>IF(Criterios!B64="","",Criterios!D64/100)</f>
        <v/>
      </c>
      <c r="C285">
        <f>IF(Criterios!B64="","",'Satisfactorio')</f>
        <v/>
      </c>
      <c r="D285">
        <f>IF(Criterios!B64="","",Criterios!H64)</f>
        <v/>
      </c>
      <c r="E285">
        <f>IF(Criterios!B64="","",75)</f>
        <v/>
      </c>
      <c r="F285">
        <f>IF(Criterios!B64="","",Criterios!A64)</f>
        <v/>
      </c>
      <c r="G285">
        <f>IF(Criterios!B64="","",64)</f>
        <v/>
      </c>
    </row>
    <row r="286">
      <c r="A286">
        <f>IF(Criterios!B64="","",Criterios!B64)</f>
        <v/>
      </c>
      <c r="B286">
        <f>IF(Criterios!B64="","",Criterios!D64/100)</f>
        <v/>
      </c>
      <c r="C286">
        <f>IF(Criterios!B64="","",'Excelente')</f>
        <v/>
      </c>
      <c r="D286">
        <f>IF(Criterios!B64="","",Criterios!I64)</f>
        <v/>
      </c>
      <c r="E286">
        <f>IF(Criterios!B64="","",100)</f>
        <v/>
      </c>
      <c r="F286">
        <f>IF(Criterios!B64="","",Criterios!A64)</f>
        <v/>
      </c>
      <c r="G286">
        <f>IF(Criterios!B64="","",64)</f>
        <v/>
      </c>
    </row>
    <row r="287">
      <c r="A287">
        <f>IF(Criterios!B65="","",Criterios!B65)</f>
        <v/>
      </c>
      <c r="B287">
        <f>IF(Criterios!B65="","",Criterios!D65/100)</f>
        <v/>
      </c>
      <c r="C287">
        <f>IF(Criterios!B65="","",'Insatisfactorio')</f>
        <v/>
      </c>
      <c r="D287">
        <f>IF(Criterios!B65="","",Criterios!E65)</f>
        <v/>
      </c>
      <c r="E287">
        <f>IF(Criterios!B65="","",0)</f>
        <v/>
      </c>
      <c r="F287">
        <f>IF(Criterios!B65="","",Criterios!A65)</f>
        <v/>
      </c>
      <c r="G287">
        <f>IF(Criterios!B65="","",65)</f>
        <v/>
      </c>
    </row>
    <row r="288">
      <c r="A288">
        <f>IF(Criterios!B65="","",Criterios!B65)</f>
        <v/>
      </c>
      <c r="B288">
        <f>IF(Criterios!B65="","",Criterios!D65/100)</f>
        <v/>
      </c>
      <c r="C288">
        <f>IF(Criterios!B65="","",'Necesitas_Mejorar')</f>
        <v/>
      </c>
      <c r="D288">
        <f>IF(Criterios!B65="","",Criterios!F65)</f>
        <v/>
      </c>
      <c r="E288">
        <f>IF(Criterios!B65="","",25)</f>
        <v/>
      </c>
      <c r="F288">
        <f>IF(Criterios!B65="","",Criterios!A65)</f>
        <v/>
      </c>
      <c r="G288">
        <f>IF(Criterios!B65="","",65)</f>
        <v/>
      </c>
    </row>
    <row r="289">
      <c r="A289">
        <f>IF(Criterios!B65="","",Criterios!B65)</f>
        <v/>
      </c>
      <c r="B289">
        <f>IF(Criterios!B65="","",Criterios!D65/100)</f>
        <v/>
      </c>
      <c r="C289">
        <f>IF(Criterios!B65="","",'Bueno')</f>
        <v/>
      </c>
      <c r="D289">
        <f>IF(Criterios!B65="","",Criterios!G65)</f>
        <v/>
      </c>
      <c r="E289">
        <f>IF(Criterios!B65="","",50)</f>
        <v/>
      </c>
      <c r="F289">
        <f>IF(Criterios!B65="","",Criterios!A65)</f>
        <v/>
      </c>
      <c r="G289">
        <f>IF(Criterios!B65="","",65)</f>
        <v/>
      </c>
    </row>
    <row r="290">
      <c r="A290">
        <f>IF(Criterios!B65="","",Criterios!B65)</f>
        <v/>
      </c>
      <c r="B290">
        <f>IF(Criterios!B65="","",Criterios!D65/100)</f>
        <v/>
      </c>
      <c r="C290">
        <f>IF(Criterios!B65="","",'Satisfactorio')</f>
        <v/>
      </c>
      <c r="D290">
        <f>IF(Criterios!B65="","",Criterios!H65)</f>
        <v/>
      </c>
      <c r="E290">
        <f>IF(Criterios!B65="","",75)</f>
        <v/>
      </c>
      <c r="F290">
        <f>IF(Criterios!B65="","",Criterios!A65)</f>
        <v/>
      </c>
      <c r="G290">
        <f>IF(Criterios!B65="","",65)</f>
        <v/>
      </c>
    </row>
    <row r="291">
      <c r="A291">
        <f>IF(Criterios!B65="","",Criterios!B65)</f>
        <v/>
      </c>
      <c r="B291">
        <f>IF(Criterios!B65="","",Criterios!D65/100)</f>
        <v/>
      </c>
      <c r="C291">
        <f>IF(Criterios!B65="","",'Excelente')</f>
        <v/>
      </c>
      <c r="D291">
        <f>IF(Criterios!B65="","",Criterios!I65)</f>
        <v/>
      </c>
      <c r="E291">
        <f>IF(Criterios!B65="","",100)</f>
        <v/>
      </c>
      <c r="F291">
        <f>IF(Criterios!B65="","",Criterios!A65)</f>
        <v/>
      </c>
      <c r="G291">
        <f>IF(Criterios!B65="","",65)</f>
        <v/>
      </c>
    </row>
    <row r="292">
      <c r="A292">
        <f>IF(Criterios!B66="","",Criterios!B66)</f>
        <v/>
      </c>
      <c r="B292">
        <f>IF(Criterios!B66="","",Criterios!D66/100)</f>
        <v/>
      </c>
      <c r="C292">
        <f>IF(Criterios!B66="","",'Insatisfactorio')</f>
        <v/>
      </c>
      <c r="D292">
        <f>IF(Criterios!B66="","",Criterios!E66)</f>
        <v/>
      </c>
      <c r="E292">
        <f>IF(Criterios!B66="","",0)</f>
        <v/>
      </c>
      <c r="F292">
        <f>IF(Criterios!B66="","",Criterios!A66)</f>
        <v/>
      </c>
      <c r="G292">
        <f>IF(Criterios!B66="","",66)</f>
        <v/>
      </c>
    </row>
    <row r="293">
      <c r="A293">
        <f>IF(Criterios!B66="","",Criterios!B66)</f>
        <v/>
      </c>
      <c r="B293">
        <f>IF(Criterios!B66="","",Criterios!D66/100)</f>
        <v/>
      </c>
      <c r="C293">
        <f>IF(Criterios!B66="","",'Necesitas_Mejorar')</f>
        <v/>
      </c>
      <c r="D293">
        <f>IF(Criterios!B66="","",Criterios!F66)</f>
        <v/>
      </c>
      <c r="E293">
        <f>IF(Criterios!B66="","",25)</f>
        <v/>
      </c>
      <c r="F293">
        <f>IF(Criterios!B66="","",Criterios!A66)</f>
        <v/>
      </c>
      <c r="G293">
        <f>IF(Criterios!B66="","",66)</f>
        <v/>
      </c>
    </row>
    <row r="294">
      <c r="A294">
        <f>IF(Criterios!B66="","",Criterios!B66)</f>
        <v/>
      </c>
      <c r="B294">
        <f>IF(Criterios!B66="","",Criterios!D66/100)</f>
        <v/>
      </c>
      <c r="C294">
        <f>IF(Criterios!B66="","",'Bueno')</f>
        <v/>
      </c>
      <c r="D294">
        <f>IF(Criterios!B66="","",Criterios!G66)</f>
        <v/>
      </c>
      <c r="E294">
        <f>IF(Criterios!B66="","",50)</f>
        <v/>
      </c>
      <c r="F294">
        <f>IF(Criterios!B66="","",Criterios!A66)</f>
        <v/>
      </c>
      <c r="G294">
        <f>IF(Criterios!B66="","",66)</f>
        <v/>
      </c>
    </row>
    <row r="295">
      <c r="A295">
        <f>IF(Criterios!B66="","",Criterios!B66)</f>
        <v/>
      </c>
      <c r="B295">
        <f>IF(Criterios!B66="","",Criterios!D66/100)</f>
        <v/>
      </c>
      <c r="C295">
        <f>IF(Criterios!B66="","",'Satisfactorio')</f>
        <v/>
      </c>
      <c r="D295">
        <f>IF(Criterios!B66="","",Criterios!H66)</f>
        <v/>
      </c>
      <c r="E295">
        <f>IF(Criterios!B66="","",75)</f>
        <v/>
      </c>
      <c r="F295">
        <f>IF(Criterios!B66="","",Criterios!A66)</f>
        <v/>
      </c>
      <c r="G295">
        <f>IF(Criterios!B66="","",66)</f>
        <v/>
      </c>
    </row>
    <row r="296">
      <c r="A296">
        <f>IF(Criterios!B66="","",Criterios!B66)</f>
        <v/>
      </c>
      <c r="B296">
        <f>IF(Criterios!B66="","",Criterios!D66/100)</f>
        <v/>
      </c>
      <c r="C296">
        <f>IF(Criterios!B66="","",'Excelente')</f>
        <v/>
      </c>
      <c r="D296">
        <f>IF(Criterios!B66="","",Criterios!I66)</f>
        <v/>
      </c>
      <c r="E296">
        <f>IF(Criterios!B66="","",100)</f>
        <v/>
      </c>
      <c r="F296">
        <f>IF(Criterios!B66="","",Criterios!A66)</f>
        <v/>
      </c>
      <c r="G296">
        <f>IF(Criterios!B66="","",66)</f>
        <v/>
      </c>
    </row>
    <row r="297">
      <c r="A297">
        <f>IF(Criterios!B67="","",Criterios!B67)</f>
        <v/>
      </c>
      <c r="B297">
        <f>IF(Criterios!B67="","",Criterios!D67/100)</f>
        <v/>
      </c>
      <c r="C297">
        <f>IF(Criterios!B67="","",'Insatisfactorio')</f>
        <v/>
      </c>
      <c r="D297">
        <f>IF(Criterios!B67="","",Criterios!E67)</f>
        <v/>
      </c>
      <c r="E297">
        <f>IF(Criterios!B67="","",0)</f>
        <v/>
      </c>
      <c r="F297">
        <f>IF(Criterios!B67="","",Criterios!A67)</f>
        <v/>
      </c>
      <c r="G297">
        <f>IF(Criterios!B67="","",67)</f>
        <v/>
      </c>
    </row>
    <row r="298">
      <c r="A298">
        <f>IF(Criterios!B67="","",Criterios!B67)</f>
        <v/>
      </c>
      <c r="B298">
        <f>IF(Criterios!B67="","",Criterios!D67/100)</f>
        <v/>
      </c>
      <c r="C298">
        <f>IF(Criterios!B67="","",'Necesitas_Mejorar')</f>
        <v/>
      </c>
      <c r="D298">
        <f>IF(Criterios!B67="","",Criterios!F67)</f>
        <v/>
      </c>
      <c r="E298">
        <f>IF(Criterios!B67="","",25)</f>
        <v/>
      </c>
      <c r="F298">
        <f>IF(Criterios!B67="","",Criterios!A67)</f>
        <v/>
      </c>
      <c r="G298">
        <f>IF(Criterios!B67="","",67)</f>
        <v/>
      </c>
    </row>
    <row r="299">
      <c r="A299">
        <f>IF(Criterios!B67="","",Criterios!B67)</f>
        <v/>
      </c>
      <c r="B299">
        <f>IF(Criterios!B67="","",Criterios!D67/100)</f>
        <v/>
      </c>
      <c r="C299">
        <f>IF(Criterios!B67="","",'Bueno')</f>
        <v/>
      </c>
      <c r="D299">
        <f>IF(Criterios!B67="","",Criterios!G67)</f>
        <v/>
      </c>
      <c r="E299">
        <f>IF(Criterios!B67="","",50)</f>
        <v/>
      </c>
      <c r="F299">
        <f>IF(Criterios!B67="","",Criterios!A67)</f>
        <v/>
      </c>
      <c r="G299">
        <f>IF(Criterios!B67="","",67)</f>
        <v/>
      </c>
    </row>
    <row r="300">
      <c r="A300">
        <f>IF(Criterios!B67="","",Criterios!B67)</f>
        <v/>
      </c>
      <c r="B300">
        <f>IF(Criterios!B67="","",Criterios!D67/100)</f>
        <v/>
      </c>
      <c r="C300">
        <f>IF(Criterios!B67="","",'Satisfactorio')</f>
        <v/>
      </c>
      <c r="D300">
        <f>IF(Criterios!B67="","",Criterios!H67)</f>
        <v/>
      </c>
      <c r="E300">
        <f>IF(Criterios!B67="","",75)</f>
        <v/>
      </c>
      <c r="F300">
        <f>IF(Criterios!B67="","",Criterios!A67)</f>
        <v/>
      </c>
      <c r="G300">
        <f>IF(Criterios!B67="","",67)</f>
        <v/>
      </c>
    </row>
    <row r="301">
      <c r="A301">
        <f>IF(Criterios!B67="","",Criterios!B67)</f>
        <v/>
      </c>
      <c r="B301">
        <f>IF(Criterios!B67="","",Criterios!D67/100)</f>
        <v/>
      </c>
      <c r="C301">
        <f>IF(Criterios!B67="","",'Excelente')</f>
        <v/>
      </c>
      <c r="D301">
        <f>IF(Criterios!B67="","",Criterios!I67)</f>
        <v/>
      </c>
      <c r="E301">
        <f>IF(Criterios!B67="","",100)</f>
        <v/>
      </c>
      <c r="F301">
        <f>IF(Criterios!B67="","",Criterios!A67)</f>
        <v/>
      </c>
      <c r="G301">
        <f>IF(Criterios!B67="","",67)</f>
        <v/>
      </c>
    </row>
    <row r="302">
      <c r="A302">
        <f>IF(Criterios!B68="","",Criterios!B68)</f>
        <v/>
      </c>
      <c r="B302">
        <f>IF(Criterios!B68="","",Criterios!D68/100)</f>
        <v/>
      </c>
      <c r="C302">
        <f>IF(Criterios!B68="","",'Insatisfactorio')</f>
        <v/>
      </c>
      <c r="D302">
        <f>IF(Criterios!B68="","",Criterios!E68)</f>
        <v/>
      </c>
      <c r="E302">
        <f>IF(Criterios!B68="","",0)</f>
        <v/>
      </c>
      <c r="F302">
        <f>IF(Criterios!B68="","",Criterios!A68)</f>
        <v/>
      </c>
      <c r="G302">
        <f>IF(Criterios!B68="","",68)</f>
        <v/>
      </c>
    </row>
    <row r="303">
      <c r="A303">
        <f>IF(Criterios!B68="","",Criterios!B68)</f>
        <v/>
      </c>
      <c r="B303">
        <f>IF(Criterios!B68="","",Criterios!D68/100)</f>
        <v/>
      </c>
      <c r="C303">
        <f>IF(Criterios!B68="","",'Necesitas_Mejorar')</f>
        <v/>
      </c>
      <c r="D303">
        <f>IF(Criterios!B68="","",Criterios!F68)</f>
        <v/>
      </c>
      <c r="E303">
        <f>IF(Criterios!B68="","",25)</f>
        <v/>
      </c>
      <c r="F303">
        <f>IF(Criterios!B68="","",Criterios!A68)</f>
        <v/>
      </c>
      <c r="G303">
        <f>IF(Criterios!B68="","",68)</f>
        <v/>
      </c>
    </row>
    <row r="304">
      <c r="A304">
        <f>IF(Criterios!B68="","",Criterios!B68)</f>
        <v/>
      </c>
      <c r="B304">
        <f>IF(Criterios!B68="","",Criterios!D68/100)</f>
        <v/>
      </c>
      <c r="C304">
        <f>IF(Criterios!B68="","",'Bueno')</f>
        <v/>
      </c>
      <c r="D304">
        <f>IF(Criterios!B68="","",Criterios!G68)</f>
        <v/>
      </c>
      <c r="E304">
        <f>IF(Criterios!B68="","",50)</f>
        <v/>
      </c>
      <c r="F304">
        <f>IF(Criterios!B68="","",Criterios!A68)</f>
        <v/>
      </c>
      <c r="G304">
        <f>IF(Criterios!B68="","",68)</f>
        <v/>
      </c>
    </row>
    <row r="305">
      <c r="A305">
        <f>IF(Criterios!B68="","",Criterios!B68)</f>
        <v/>
      </c>
      <c r="B305">
        <f>IF(Criterios!B68="","",Criterios!D68/100)</f>
        <v/>
      </c>
      <c r="C305">
        <f>IF(Criterios!B68="","",'Satisfactorio')</f>
        <v/>
      </c>
      <c r="D305">
        <f>IF(Criterios!B68="","",Criterios!H68)</f>
        <v/>
      </c>
      <c r="E305">
        <f>IF(Criterios!B68="","",75)</f>
        <v/>
      </c>
      <c r="F305">
        <f>IF(Criterios!B68="","",Criterios!A68)</f>
        <v/>
      </c>
      <c r="G305">
        <f>IF(Criterios!B68="","",68)</f>
        <v/>
      </c>
    </row>
    <row r="306">
      <c r="A306">
        <f>IF(Criterios!B68="","",Criterios!B68)</f>
        <v/>
      </c>
      <c r="B306">
        <f>IF(Criterios!B68="","",Criterios!D68/100)</f>
        <v/>
      </c>
      <c r="C306">
        <f>IF(Criterios!B68="","",'Excelente')</f>
        <v/>
      </c>
      <c r="D306">
        <f>IF(Criterios!B68="","",Criterios!I68)</f>
        <v/>
      </c>
      <c r="E306">
        <f>IF(Criterios!B68="","",100)</f>
        <v/>
      </c>
      <c r="F306">
        <f>IF(Criterios!B68="","",Criterios!A68)</f>
        <v/>
      </c>
      <c r="G306">
        <f>IF(Criterios!B68="","",68)</f>
        <v/>
      </c>
    </row>
    <row r="307">
      <c r="A307">
        <f>IF(Criterios!B69="","",Criterios!B69)</f>
        <v/>
      </c>
      <c r="B307">
        <f>IF(Criterios!B69="","",Criterios!D69/100)</f>
        <v/>
      </c>
      <c r="C307">
        <f>IF(Criterios!B69="","",'Insatisfactorio')</f>
        <v/>
      </c>
      <c r="D307">
        <f>IF(Criterios!B69="","",Criterios!E69)</f>
        <v/>
      </c>
      <c r="E307">
        <f>IF(Criterios!B69="","",0)</f>
        <v/>
      </c>
      <c r="F307">
        <f>IF(Criterios!B69="","",Criterios!A69)</f>
        <v/>
      </c>
      <c r="G307">
        <f>IF(Criterios!B69="","",69)</f>
        <v/>
      </c>
    </row>
    <row r="308">
      <c r="A308">
        <f>IF(Criterios!B69="","",Criterios!B69)</f>
        <v/>
      </c>
      <c r="B308">
        <f>IF(Criterios!B69="","",Criterios!D69/100)</f>
        <v/>
      </c>
      <c r="C308">
        <f>IF(Criterios!B69="","",'Necesitas_Mejorar')</f>
        <v/>
      </c>
      <c r="D308">
        <f>IF(Criterios!B69="","",Criterios!F69)</f>
        <v/>
      </c>
      <c r="E308">
        <f>IF(Criterios!B69="","",25)</f>
        <v/>
      </c>
      <c r="F308">
        <f>IF(Criterios!B69="","",Criterios!A69)</f>
        <v/>
      </c>
      <c r="G308">
        <f>IF(Criterios!B69="","",69)</f>
        <v/>
      </c>
    </row>
    <row r="309">
      <c r="A309">
        <f>IF(Criterios!B69="","",Criterios!B69)</f>
        <v/>
      </c>
      <c r="B309">
        <f>IF(Criterios!B69="","",Criterios!D69/100)</f>
        <v/>
      </c>
      <c r="C309">
        <f>IF(Criterios!B69="","",'Bueno')</f>
        <v/>
      </c>
      <c r="D309">
        <f>IF(Criterios!B69="","",Criterios!G69)</f>
        <v/>
      </c>
      <c r="E309">
        <f>IF(Criterios!B69="","",50)</f>
        <v/>
      </c>
      <c r="F309">
        <f>IF(Criterios!B69="","",Criterios!A69)</f>
        <v/>
      </c>
      <c r="G309">
        <f>IF(Criterios!B69="","",69)</f>
        <v/>
      </c>
    </row>
    <row r="310">
      <c r="A310">
        <f>IF(Criterios!B69="","",Criterios!B69)</f>
        <v/>
      </c>
      <c r="B310">
        <f>IF(Criterios!B69="","",Criterios!D69/100)</f>
        <v/>
      </c>
      <c r="C310">
        <f>IF(Criterios!B69="","",'Satisfactorio')</f>
        <v/>
      </c>
      <c r="D310">
        <f>IF(Criterios!B69="","",Criterios!H69)</f>
        <v/>
      </c>
      <c r="E310">
        <f>IF(Criterios!B69="","",75)</f>
        <v/>
      </c>
      <c r="F310">
        <f>IF(Criterios!B69="","",Criterios!A69)</f>
        <v/>
      </c>
      <c r="G310">
        <f>IF(Criterios!B69="","",69)</f>
        <v/>
      </c>
    </row>
    <row r="311">
      <c r="A311">
        <f>IF(Criterios!B69="","",Criterios!B69)</f>
        <v/>
      </c>
      <c r="B311">
        <f>IF(Criterios!B69="","",Criterios!D69/100)</f>
        <v/>
      </c>
      <c r="C311">
        <f>IF(Criterios!B69="","",'Excelente')</f>
        <v/>
      </c>
      <c r="D311">
        <f>IF(Criterios!B69="","",Criterios!I69)</f>
        <v/>
      </c>
      <c r="E311">
        <f>IF(Criterios!B69="","",100)</f>
        <v/>
      </c>
      <c r="F311">
        <f>IF(Criterios!B69="","",Criterios!A69)</f>
        <v/>
      </c>
      <c r="G311">
        <f>IF(Criterios!B69="","",69)</f>
        <v/>
      </c>
    </row>
    <row r="312">
      <c r="A312">
        <f>IF(Criterios!B70="","",Criterios!B70)</f>
        <v/>
      </c>
      <c r="B312">
        <f>IF(Criterios!B70="","",Criterios!D70/100)</f>
        <v/>
      </c>
      <c r="C312">
        <f>IF(Criterios!B70="","",'Insatisfactorio')</f>
        <v/>
      </c>
      <c r="D312">
        <f>IF(Criterios!B70="","",Criterios!E70)</f>
        <v/>
      </c>
      <c r="E312">
        <f>IF(Criterios!B70="","",0)</f>
        <v/>
      </c>
      <c r="F312">
        <f>IF(Criterios!B70="","",Criterios!A70)</f>
        <v/>
      </c>
      <c r="G312">
        <f>IF(Criterios!B70="","",70)</f>
        <v/>
      </c>
    </row>
    <row r="313">
      <c r="A313">
        <f>IF(Criterios!B70="","",Criterios!B70)</f>
        <v/>
      </c>
      <c r="B313">
        <f>IF(Criterios!B70="","",Criterios!D70/100)</f>
        <v/>
      </c>
      <c r="C313">
        <f>IF(Criterios!B70="","",'Necesitas_Mejorar')</f>
        <v/>
      </c>
      <c r="D313">
        <f>IF(Criterios!B70="","",Criterios!F70)</f>
        <v/>
      </c>
      <c r="E313">
        <f>IF(Criterios!B70="","",25)</f>
        <v/>
      </c>
      <c r="F313">
        <f>IF(Criterios!B70="","",Criterios!A70)</f>
        <v/>
      </c>
      <c r="G313">
        <f>IF(Criterios!B70="","",70)</f>
        <v/>
      </c>
    </row>
    <row r="314">
      <c r="A314">
        <f>IF(Criterios!B70="","",Criterios!B70)</f>
        <v/>
      </c>
      <c r="B314">
        <f>IF(Criterios!B70="","",Criterios!D70/100)</f>
        <v/>
      </c>
      <c r="C314">
        <f>IF(Criterios!B70="","",'Bueno')</f>
        <v/>
      </c>
      <c r="D314">
        <f>IF(Criterios!B70="","",Criterios!G70)</f>
        <v/>
      </c>
      <c r="E314">
        <f>IF(Criterios!B70="","",50)</f>
        <v/>
      </c>
      <c r="F314">
        <f>IF(Criterios!B70="","",Criterios!A70)</f>
        <v/>
      </c>
      <c r="G314">
        <f>IF(Criterios!B70="","",70)</f>
        <v/>
      </c>
    </row>
    <row r="315">
      <c r="A315">
        <f>IF(Criterios!B70="","",Criterios!B70)</f>
        <v/>
      </c>
      <c r="B315">
        <f>IF(Criterios!B70="","",Criterios!D70/100)</f>
        <v/>
      </c>
      <c r="C315">
        <f>IF(Criterios!B70="","",'Satisfactorio')</f>
        <v/>
      </c>
      <c r="D315">
        <f>IF(Criterios!B70="","",Criterios!H70)</f>
        <v/>
      </c>
      <c r="E315">
        <f>IF(Criterios!B70="","",75)</f>
        <v/>
      </c>
      <c r="F315">
        <f>IF(Criterios!B70="","",Criterios!A70)</f>
        <v/>
      </c>
      <c r="G315">
        <f>IF(Criterios!B70="","",70)</f>
        <v/>
      </c>
    </row>
    <row r="316">
      <c r="A316">
        <f>IF(Criterios!B70="","",Criterios!B70)</f>
        <v/>
      </c>
      <c r="B316">
        <f>IF(Criterios!B70="","",Criterios!D70/100)</f>
        <v/>
      </c>
      <c r="C316">
        <f>IF(Criterios!B70="","",'Excelente')</f>
        <v/>
      </c>
      <c r="D316">
        <f>IF(Criterios!B70="","",Criterios!I70)</f>
        <v/>
      </c>
      <c r="E316">
        <f>IF(Criterios!B70="","",100)</f>
        <v/>
      </c>
      <c r="F316">
        <f>IF(Criterios!B70="","",Criterios!A70)</f>
        <v/>
      </c>
      <c r="G316">
        <f>IF(Criterios!B70="","",70)</f>
        <v/>
      </c>
    </row>
    <row r="317">
      <c r="A317">
        <f>IF(Criterios!B71="","",Criterios!B71)</f>
        <v/>
      </c>
      <c r="B317">
        <f>IF(Criterios!B71="","",Criterios!D71/100)</f>
        <v/>
      </c>
      <c r="C317">
        <f>IF(Criterios!B71="","",'Insatisfactorio')</f>
        <v/>
      </c>
      <c r="D317">
        <f>IF(Criterios!B71="","",Criterios!E71)</f>
        <v/>
      </c>
      <c r="E317">
        <f>IF(Criterios!B71="","",0)</f>
        <v/>
      </c>
      <c r="F317">
        <f>IF(Criterios!B71="","",Criterios!A71)</f>
        <v/>
      </c>
      <c r="G317">
        <f>IF(Criterios!B71="","",71)</f>
        <v/>
      </c>
    </row>
    <row r="318">
      <c r="A318">
        <f>IF(Criterios!B71="","",Criterios!B71)</f>
        <v/>
      </c>
      <c r="B318">
        <f>IF(Criterios!B71="","",Criterios!D71/100)</f>
        <v/>
      </c>
      <c r="C318">
        <f>IF(Criterios!B71="","",'Necesitas_Mejorar')</f>
        <v/>
      </c>
      <c r="D318">
        <f>IF(Criterios!B71="","",Criterios!F71)</f>
        <v/>
      </c>
      <c r="E318">
        <f>IF(Criterios!B71="","",25)</f>
        <v/>
      </c>
      <c r="F318">
        <f>IF(Criterios!B71="","",Criterios!A71)</f>
        <v/>
      </c>
      <c r="G318">
        <f>IF(Criterios!B71="","",71)</f>
        <v/>
      </c>
    </row>
    <row r="319">
      <c r="A319">
        <f>IF(Criterios!B71="","",Criterios!B71)</f>
        <v/>
      </c>
      <c r="B319">
        <f>IF(Criterios!B71="","",Criterios!D71/100)</f>
        <v/>
      </c>
      <c r="C319">
        <f>IF(Criterios!B71="","",'Bueno')</f>
        <v/>
      </c>
      <c r="D319">
        <f>IF(Criterios!B71="","",Criterios!G71)</f>
        <v/>
      </c>
      <c r="E319">
        <f>IF(Criterios!B71="","",50)</f>
        <v/>
      </c>
      <c r="F319">
        <f>IF(Criterios!B71="","",Criterios!A71)</f>
        <v/>
      </c>
      <c r="G319">
        <f>IF(Criterios!B71="","",71)</f>
        <v/>
      </c>
    </row>
    <row r="320">
      <c r="A320">
        <f>IF(Criterios!B71="","",Criterios!B71)</f>
        <v/>
      </c>
      <c r="B320">
        <f>IF(Criterios!B71="","",Criterios!D71/100)</f>
        <v/>
      </c>
      <c r="C320">
        <f>IF(Criterios!B71="","",'Satisfactorio')</f>
        <v/>
      </c>
      <c r="D320">
        <f>IF(Criterios!B71="","",Criterios!H71)</f>
        <v/>
      </c>
      <c r="E320">
        <f>IF(Criterios!B71="","",75)</f>
        <v/>
      </c>
      <c r="F320">
        <f>IF(Criterios!B71="","",Criterios!A71)</f>
        <v/>
      </c>
      <c r="G320">
        <f>IF(Criterios!B71="","",71)</f>
        <v/>
      </c>
    </row>
    <row r="321">
      <c r="A321">
        <f>IF(Criterios!B71="","",Criterios!B71)</f>
        <v/>
      </c>
      <c r="B321">
        <f>IF(Criterios!B71="","",Criterios!D71/100)</f>
        <v/>
      </c>
      <c r="C321">
        <f>IF(Criterios!B71="","",'Excelente')</f>
        <v/>
      </c>
      <c r="D321">
        <f>IF(Criterios!B71="","",Criterios!I71)</f>
        <v/>
      </c>
      <c r="E321">
        <f>IF(Criterios!B71="","",100)</f>
        <v/>
      </c>
      <c r="F321">
        <f>IF(Criterios!B71="","",Criterios!A71)</f>
        <v/>
      </c>
      <c r="G321">
        <f>IF(Criterios!B71="","",71)</f>
        <v/>
      </c>
    </row>
    <row r="322">
      <c r="A322">
        <f>IF(Criterios!B72="","",Criterios!B72)</f>
        <v/>
      </c>
      <c r="B322">
        <f>IF(Criterios!B72="","",Criterios!D72/100)</f>
        <v/>
      </c>
      <c r="C322">
        <f>IF(Criterios!B72="","",'Insatisfactorio')</f>
        <v/>
      </c>
      <c r="D322">
        <f>IF(Criterios!B72="","",Criterios!E72)</f>
        <v/>
      </c>
      <c r="E322">
        <f>IF(Criterios!B72="","",0)</f>
        <v/>
      </c>
      <c r="F322">
        <f>IF(Criterios!B72="","",Criterios!A72)</f>
        <v/>
      </c>
      <c r="G322">
        <f>IF(Criterios!B72="","",72)</f>
        <v/>
      </c>
    </row>
    <row r="323">
      <c r="A323">
        <f>IF(Criterios!B72="","",Criterios!B72)</f>
        <v/>
      </c>
      <c r="B323">
        <f>IF(Criterios!B72="","",Criterios!D72/100)</f>
        <v/>
      </c>
      <c r="C323">
        <f>IF(Criterios!B72="","",'Necesitas_Mejorar')</f>
        <v/>
      </c>
      <c r="D323">
        <f>IF(Criterios!B72="","",Criterios!F72)</f>
        <v/>
      </c>
      <c r="E323">
        <f>IF(Criterios!B72="","",25)</f>
        <v/>
      </c>
      <c r="F323">
        <f>IF(Criterios!B72="","",Criterios!A72)</f>
        <v/>
      </c>
      <c r="G323">
        <f>IF(Criterios!B72="","",72)</f>
        <v/>
      </c>
    </row>
    <row r="324">
      <c r="A324">
        <f>IF(Criterios!B72="","",Criterios!B72)</f>
        <v/>
      </c>
      <c r="B324">
        <f>IF(Criterios!B72="","",Criterios!D72/100)</f>
        <v/>
      </c>
      <c r="C324">
        <f>IF(Criterios!B72="","",'Bueno')</f>
        <v/>
      </c>
      <c r="D324">
        <f>IF(Criterios!B72="","",Criterios!G72)</f>
        <v/>
      </c>
      <c r="E324">
        <f>IF(Criterios!B72="","",50)</f>
        <v/>
      </c>
      <c r="F324">
        <f>IF(Criterios!B72="","",Criterios!A72)</f>
        <v/>
      </c>
      <c r="G324">
        <f>IF(Criterios!B72="","",72)</f>
        <v/>
      </c>
    </row>
    <row r="325">
      <c r="A325">
        <f>IF(Criterios!B72="","",Criterios!B72)</f>
        <v/>
      </c>
      <c r="B325">
        <f>IF(Criterios!B72="","",Criterios!D72/100)</f>
        <v/>
      </c>
      <c r="C325">
        <f>IF(Criterios!B72="","",'Satisfactorio')</f>
        <v/>
      </c>
      <c r="D325">
        <f>IF(Criterios!B72="","",Criterios!H72)</f>
        <v/>
      </c>
      <c r="E325">
        <f>IF(Criterios!B72="","",75)</f>
        <v/>
      </c>
      <c r="F325">
        <f>IF(Criterios!B72="","",Criterios!A72)</f>
        <v/>
      </c>
      <c r="G325">
        <f>IF(Criterios!B72="","",72)</f>
        <v/>
      </c>
    </row>
    <row r="326">
      <c r="A326">
        <f>IF(Criterios!B72="","",Criterios!B72)</f>
        <v/>
      </c>
      <c r="B326">
        <f>IF(Criterios!B72="","",Criterios!D72/100)</f>
        <v/>
      </c>
      <c r="C326">
        <f>IF(Criterios!B72="","",'Excelente')</f>
        <v/>
      </c>
      <c r="D326">
        <f>IF(Criterios!B72="","",Criterios!I72)</f>
        <v/>
      </c>
      <c r="E326">
        <f>IF(Criterios!B72="","",100)</f>
        <v/>
      </c>
      <c r="F326">
        <f>IF(Criterios!B72="","",Criterios!A72)</f>
        <v/>
      </c>
      <c r="G326">
        <f>IF(Criterios!B72="","",72)</f>
        <v/>
      </c>
    </row>
    <row r="327">
      <c r="A327">
        <f>IF(Criterios!B73="","",Criterios!B73)</f>
        <v/>
      </c>
      <c r="B327">
        <f>IF(Criterios!B73="","",Criterios!D73/100)</f>
        <v/>
      </c>
      <c r="C327">
        <f>IF(Criterios!B73="","",'Insatisfactorio')</f>
        <v/>
      </c>
      <c r="D327">
        <f>IF(Criterios!B73="","",Criterios!E73)</f>
        <v/>
      </c>
      <c r="E327">
        <f>IF(Criterios!B73="","",0)</f>
        <v/>
      </c>
      <c r="F327">
        <f>IF(Criterios!B73="","",Criterios!A73)</f>
        <v/>
      </c>
      <c r="G327">
        <f>IF(Criterios!B73="","",73)</f>
        <v/>
      </c>
    </row>
    <row r="328">
      <c r="A328">
        <f>IF(Criterios!B73="","",Criterios!B73)</f>
        <v/>
      </c>
      <c r="B328">
        <f>IF(Criterios!B73="","",Criterios!D73/100)</f>
        <v/>
      </c>
      <c r="C328">
        <f>IF(Criterios!B73="","",'Necesitas_Mejorar')</f>
        <v/>
      </c>
      <c r="D328">
        <f>IF(Criterios!B73="","",Criterios!F73)</f>
        <v/>
      </c>
      <c r="E328">
        <f>IF(Criterios!B73="","",25)</f>
        <v/>
      </c>
      <c r="F328">
        <f>IF(Criterios!B73="","",Criterios!A73)</f>
        <v/>
      </c>
      <c r="G328">
        <f>IF(Criterios!B73="","",73)</f>
        <v/>
      </c>
    </row>
    <row r="329">
      <c r="A329">
        <f>IF(Criterios!B73="","",Criterios!B73)</f>
        <v/>
      </c>
      <c r="B329">
        <f>IF(Criterios!B73="","",Criterios!D73/100)</f>
        <v/>
      </c>
      <c r="C329">
        <f>IF(Criterios!B73="","",'Bueno')</f>
        <v/>
      </c>
      <c r="D329">
        <f>IF(Criterios!B73="","",Criterios!G73)</f>
        <v/>
      </c>
      <c r="E329">
        <f>IF(Criterios!B73="","",50)</f>
        <v/>
      </c>
      <c r="F329">
        <f>IF(Criterios!B73="","",Criterios!A73)</f>
        <v/>
      </c>
      <c r="G329">
        <f>IF(Criterios!B73="","",73)</f>
        <v/>
      </c>
    </row>
    <row r="330">
      <c r="A330">
        <f>IF(Criterios!B73="","",Criterios!B73)</f>
        <v/>
      </c>
      <c r="B330">
        <f>IF(Criterios!B73="","",Criterios!D73/100)</f>
        <v/>
      </c>
      <c r="C330">
        <f>IF(Criterios!B73="","",'Satisfactorio')</f>
        <v/>
      </c>
      <c r="D330">
        <f>IF(Criterios!B73="","",Criterios!H73)</f>
        <v/>
      </c>
      <c r="E330">
        <f>IF(Criterios!B73="","",75)</f>
        <v/>
      </c>
      <c r="F330">
        <f>IF(Criterios!B73="","",Criterios!A73)</f>
        <v/>
      </c>
      <c r="G330">
        <f>IF(Criterios!B73="","",73)</f>
        <v/>
      </c>
    </row>
    <row r="331">
      <c r="A331">
        <f>IF(Criterios!B73="","",Criterios!B73)</f>
        <v/>
      </c>
      <c r="B331">
        <f>IF(Criterios!B73="","",Criterios!D73/100)</f>
        <v/>
      </c>
      <c r="C331">
        <f>IF(Criterios!B73="","",'Excelente')</f>
        <v/>
      </c>
      <c r="D331">
        <f>IF(Criterios!B73="","",Criterios!I73)</f>
        <v/>
      </c>
      <c r="E331">
        <f>IF(Criterios!B73="","",100)</f>
        <v/>
      </c>
      <c r="F331">
        <f>IF(Criterios!B73="","",Criterios!A73)</f>
        <v/>
      </c>
      <c r="G331">
        <f>IF(Criterios!B73="","",73)</f>
        <v/>
      </c>
    </row>
    <row r="332">
      <c r="A332">
        <f>IF(Criterios!B74="","",Criterios!B74)</f>
        <v/>
      </c>
      <c r="B332">
        <f>IF(Criterios!B74="","",Criterios!D74/100)</f>
        <v/>
      </c>
      <c r="C332">
        <f>IF(Criterios!B74="","",'Insatisfactorio')</f>
        <v/>
      </c>
      <c r="D332">
        <f>IF(Criterios!B74="","",Criterios!E74)</f>
        <v/>
      </c>
      <c r="E332">
        <f>IF(Criterios!B74="","",0)</f>
        <v/>
      </c>
      <c r="F332">
        <f>IF(Criterios!B74="","",Criterios!A74)</f>
        <v/>
      </c>
      <c r="G332">
        <f>IF(Criterios!B74="","",74)</f>
        <v/>
      </c>
    </row>
    <row r="333">
      <c r="A333">
        <f>IF(Criterios!B74="","",Criterios!B74)</f>
        <v/>
      </c>
      <c r="B333">
        <f>IF(Criterios!B74="","",Criterios!D74/100)</f>
        <v/>
      </c>
      <c r="C333">
        <f>IF(Criterios!B74="","",'Necesitas_Mejorar')</f>
        <v/>
      </c>
      <c r="D333">
        <f>IF(Criterios!B74="","",Criterios!F74)</f>
        <v/>
      </c>
      <c r="E333">
        <f>IF(Criterios!B74="","",25)</f>
        <v/>
      </c>
      <c r="F333">
        <f>IF(Criterios!B74="","",Criterios!A74)</f>
        <v/>
      </c>
      <c r="G333">
        <f>IF(Criterios!B74="","",74)</f>
        <v/>
      </c>
    </row>
    <row r="334">
      <c r="A334">
        <f>IF(Criterios!B74="","",Criterios!B74)</f>
        <v/>
      </c>
      <c r="B334">
        <f>IF(Criterios!B74="","",Criterios!D74/100)</f>
        <v/>
      </c>
      <c r="C334">
        <f>IF(Criterios!B74="","",'Bueno')</f>
        <v/>
      </c>
      <c r="D334">
        <f>IF(Criterios!B74="","",Criterios!G74)</f>
        <v/>
      </c>
      <c r="E334">
        <f>IF(Criterios!B74="","",50)</f>
        <v/>
      </c>
      <c r="F334">
        <f>IF(Criterios!B74="","",Criterios!A74)</f>
        <v/>
      </c>
      <c r="G334">
        <f>IF(Criterios!B74="","",74)</f>
        <v/>
      </c>
    </row>
    <row r="335">
      <c r="A335">
        <f>IF(Criterios!B74="","",Criterios!B74)</f>
        <v/>
      </c>
      <c r="B335">
        <f>IF(Criterios!B74="","",Criterios!D74/100)</f>
        <v/>
      </c>
      <c r="C335">
        <f>IF(Criterios!B74="","",'Satisfactorio')</f>
        <v/>
      </c>
      <c r="D335">
        <f>IF(Criterios!B74="","",Criterios!H74)</f>
        <v/>
      </c>
      <c r="E335">
        <f>IF(Criterios!B74="","",75)</f>
        <v/>
      </c>
      <c r="F335">
        <f>IF(Criterios!B74="","",Criterios!A74)</f>
        <v/>
      </c>
      <c r="G335">
        <f>IF(Criterios!B74="","",74)</f>
        <v/>
      </c>
    </row>
    <row r="336">
      <c r="A336">
        <f>IF(Criterios!B74="","",Criterios!B74)</f>
        <v/>
      </c>
      <c r="B336">
        <f>IF(Criterios!B74="","",Criterios!D74/100)</f>
        <v/>
      </c>
      <c r="C336">
        <f>IF(Criterios!B74="","",'Excelente')</f>
        <v/>
      </c>
      <c r="D336">
        <f>IF(Criterios!B74="","",Criterios!I74)</f>
        <v/>
      </c>
      <c r="E336">
        <f>IF(Criterios!B74="","",100)</f>
        <v/>
      </c>
      <c r="F336">
        <f>IF(Criterios!B74="","",Criterios!A74)</f>
        <v/>
      </c>
      <c r="G336">
        <f>IF(Criterios!B74="","",74)</f>
        <v/>
      </c>
    </row>
    <row r="337">
      <c r="A337">
        <f>IF(Criterios!B75="","",Criterios!B75)</f>
        <v/>
      </c>
      <c r="B337">
        <f>IF(Criterios!B75="","",Criterios!D75/100)</f>
        <v/>
      </c>
      <c r="C337">
        <f>IF(Criterios!B75="","",'Insatisfactorio')</f>
        <v/>
      </c>
      <c r="D337">
        <f>IF(Criterios!B75="","",Criterios!E75)</f>
        <v/>
      </c>
      <c r="E337">
        <f>IF(Criterios!B75="","",0)</f>
        <v/>
      </c>
      <c r="F337">
        <f>IF(Criterios!B75="","",Criterios!A75)</f>
        <v/>
      </c>
      <c r="G337">
        <f>IF(Criterios!B75="","",75)</f>
        <v/>
      </c>
    </row>
    <row r="338">
      <c r="A338">
        <f>IF(Criterios!B75="","",Criterios!B75)</f>
        <v/>
      </c>
      <c r="B338">
        <f>IF(Criterios!B75="","",Criterios!D75/100)</f>
        <v/>
      </c>
      <c r="C338">
        <f>IF(Criterios!B75="","",'Necesitas_Mejorar')</f>
        <v/>
      </c>
      <c r="D338">
        <f>IF(Criterios!B75="","",Criterios!F75)</f>
        <v/>
      </c>
      <c r="E338">
        <f>IF(Criterios!B75="","",25)</f>
        <v/>
      </c>
      <c r="F338">
        <f>IF(Criterios!B75="","",Criterios!A75)</f>
        <v/>
      </c>
      <c r="G338">
        <f>IF(Criterios!B75="","",75)</f>
        <v/>
      </c>
    </row>
    <row r="339">
      <c r="A339">
        <f>IF(Criterios!B75="","",Criterios!B75)</f>
        <v/>
      </c>
      <c r="B339">
        <f>IF(Criterios!B75="","",Criterios!D75/100)</f>
        <v/>
      </c>
      <c r="C339">
        <f>IF(Criterios!B75="","",'Bueno')</f>
        <v/>
      </c>
      <c r="D339">
        <f>IF(Criterios!B75="","",Criterios!G75)</f>
        <v/>
      </c>
      <c r="E339">
        <f>IF(Criterios!B75="","",50)</f>
        <v/>
      </c>
      <c r="F339">
        <f>IF(Criterios!B75="","",Criterios!A75)</f>
        <v/>
      </c>
      <c r="G339">
        <f>IF(Criterios!B75="","",75)</f>
        <v/>
      </c>
    </row>
    <row r="340">
      <c r="A340">
        <f>IF(Criterios!B75="","",Criterios!B75)</f>
        <v/>
      </c>
      <c r="B340">
        <f>IF(Criterios!B75="","",Criterios!D75/100)</f>
        <v/>
      </c>
      <c r="C340">
        <f>IF(Criterios!B75="","",'Satisfactorio')</f>
        <v/>
      </c>
      <c r="D340">
        <f>IF(Criterios!B75="","",Criterios!H75)</f>
        <v/>
      </c>
      <c r="E340">
        <f>IF(Criterios!B75="","",75)</f>
        <v/>
      </c>
      <c r="F340">
        <f>IF(Criterios!B75="","",Criterios!A75)</f>
        <v/>
      </c>
      <c r="G340">
        <f>IF(Criterios!B75="","",75)</f>
        <v/>
      </c>
    </row>
    <row r="341">
      <c r="A341">
        <f>IF(Criterios!B75="","",Criterios!B75)</f>
        <v/>
      </c>
      <c r="B341">
        <f>IF(Criterios!B75="","",Criterios!D75/100)</f>
        <v/>
      </c>
      <c r="C341">
        <f>IF(Criterios!B75="","",'Excelente')</f>
        <v/>
      </c>
      <c r="D341">
        <f>IF(Criterios!B75="","",Criterios!I75)</f>
        <v/>
      </c>
      <c r="E341">
        <f>IF(Criterios!B75="","",100)</f>
        <v/>
      </c>
      <c r="F341">
        <f>IF(Criterios!B75="","",Criterios!A75)</f>
        <v/>
      </c>
      <c r="G341">
        <f>IF(Criterios!B75="","",75)</f>
        <v/>
      </c>
    </row>
    <row r="342">
      <c r="A342">
        <f>IF(Criterios!B76="","",Criterios!B76)</f>
        <v/>
      </c>
      <c r="B342">
        <f>IF(Criterios!B76="","",Criterios!D76/100)</f>
        <v/>
      </c>
      <c r="C342">
        <f>IF(Criterios!B76="","",'Insatisfactorio')</f>
        <v/>
      </c>
      <c r="D342">
        <f>IF(Criterios!B76="","",Criterios!E76)</f>
        <v/>
      </c>
      <c r="E342">
        <f>IF(Criterios!B76="","",0)</f>
        <v/>
      </c>
      <c r="F342">
        <f>IF(Criterios!B76="","",Criterios!A76)</f>
        <v/>
      </c>
      <c r="G342">
        <f>IF(Criterios!B76="","",76)</f>
        <v/>
      </c>
    </row>
    <row r="343">
      <c r="A343">
        <f>IF(Criterios!B76="","",Criterios!B76)</f>
        <v/>
      </c>
      <c r="B343">
        <f>IF(Criterios!B76="","",Criterios!D76/100)</f>
        <v/>
      </c>
      <c r="C343">
        <f>IF(Criterios!B76="","",'Necesitas_Mejorar')</f>
        <v/>
      </c>
      <c r="D343">
        <f>IF(Criterios!B76="","",Criterios!F76)</f>
        <v/>
      </c>
      <c r="E343">
        <f>IF(Criterios!B76="","",25)</f>
        <v/>
      </c>
      <c r="F343">
        <f>IF(Criterios!B76="","",Criterios!A76)</f>
        <v/>
      </c>
      <c r="G343">
        <f>IF(Criterios!B76="","",76)</f>
        <v/>
      </c>
    </row>
    <row r="344">
      <c r="A344">
        <f>IF(Criterios!B76="","",Criterios!B76)</f>
        <v/>
      </c>
      <c r="B344">
        <f>IF(Criterios!B76="","",Criterios!D76/100)</f>
        <v/>
      </c>
      <c r="C344">
        <f>IF(Criterios!B76="","",'Bueno')</f>
        <v/>
      </c>
      <c r="D344">
        <f>IF(Criterios!B76="","",Criterios!G76)</f>
        <v/>
      </c>
      <c r="E344">
        <f>IF(Criterios!B76="","",50)</f>
        <v/>
      </c>
      <c r="F344">
        <f>IF(Criterios!B76="","",Criterios!A76)</f>
        <v/>
      </c>
      <c r="G344">
        <f>IF(Criterios!B76="","",76)</f>
        <v/>
      </c>
    </row>
    <row r="345">
      <c r="A345">
        <f>IF(Criterios!B76="","",Criterios!B76)</f>
        <v/>
      </c>
      <c r="B345">
        <f>IF(Criterios!B76="","",Criterios!D76/100)</f>
        <v/>
      </c>
      <c r="C345">
        <f>IF(Criterios!B76="","",'Satisfactorio')</f>
        <v/>
      </c>
      <c r="D345">
        <f>IF(Criterios!B76="","",Criterios!H76)</f>
        <v/>
      </c>
      <c r="E345">
        <f>IF(Criterios!B76="","",75)</f>
        <v/>
      </c>
      <c r="F345">
        <f>IF(Criterios!B76="","",Criterios!A76)</f>
        <v/>
      </c>
      <c r="G345">
        <f>IF(Criterios!B76="","",76)</f>
        <v/>
      </c>
    </row>
    <row r="346">
      <c r="A346">
        <f>IF(Criterios!B76="","",Criterios!B76)</f>
        <v/>
      </c>
      <c r="B346">
        <f>IF(Criterios!B76="","",Criterios!D76/100)</f>
        <v/>
      </c>
      <c r="C346">
        <f>IF(Criterios!B76="","",'Excelente')</f>
        <v/>
      </c>
      <c r="D346">
        <f>IF(Criterios!B76="","",Criterios!I76)</f>
        <v/>
      </c>
      <c r="E346">
        <f>IF(Criterios!B76="","",100)</f>
        <v/>
      </c>
      <c r="F346">
        <f>IF(Criterios!B76="","",Criterios!A76)</f>
        <v/>
      </c>
      <c r="G346">
        <f>IF(Criterios!B76="","",76)</f>
        <v/>
      </c>
    </row>
    <row r="347">
      <c r="A347">
        <f>IF(Criterios!B77="","",Criterios!B77)</f>
        <v/>
      </c>
      <c r="B347">
        <f>IF(Criterios!B77="","",Criterios!D77/100)</f>
        <v/>
      </c>
      <c r="C347">
        <f>IF(Criterios!B77="","",'Insatisfactorio')</f>
        <v/>
      </c>
      <c r="D347">
        <f>IF(Criterios!B77="","",Criterios!E77)</f>
        <v/>
      </c>
      <c r="E347">
        <f>IF(Criterios!B77="","",0)</f>
        <v/>
      </c>
      <c r="F347">
        <f>IF(Criterios!B77="","",Criterios!A77)</f>
        <v/>
      </c>
      <c r="G347">
        <f>IF(Criterios!B77="","",77)</f>
        <v/>
      </c>
    </row>
    <row r="348">
      <c r="A348">
        <f>IF(Criterios!B77="","",Criterios!B77)</f>
        <v/>
      </c>
      <c r="B348">
        <f>IF(Criterios!B77="","",Criterios!D77/100)</f>
        <v/>
      </c>
      <c r="C348">
        <f>IF(Criterios!B77="","",'Necesitas_Mejorar')</f>
        <v/>
      </c>
      <c r="D348">
        <f>IF(Criterios!B77="","",Criterios!F77)</f>
        <v/>
      </c>
      <c r="E348">
        <f>IF(Criterios!B77="","",25)</f>
        <v/>
      </c>
      <c r="F348">
        <f>IF(Criterios!B77="","",Criterios!A77)</f>
        <v/>
      </c>
      <c r="G348">
        <f>IF(Criterios!B77="","",77)</f>
        <v/>
      </c>
    </row>
    <row r="349">
      <c r="A349">
        <f>IF(Criterios!B77="","",Criterios!B77)</f>
        <v/>
      </c>
      <c r="B349">
        <f>IF(Criterios!B77="","",Criterios!D77/100)</f>
        <v/>
      </c>
      <c r="C349">
        <f>IF(Criterios!B77="","",'Bueno')</f>
        <v/>
      </c>
      <c r="D349">
        <f>IF(Criterios!B77="","",Criterios!G77)</f>
        <v/>
      </c>
      <c r="E349">
        <f>IF(Criterios!B77="","",50)</f>
        <v/>
      </c>
      <c r="F349">
        <f>IF(Criterios!B77="","",Criterios!A77)</f>
        <v/>
      </c>
      <c r="G349">
        <f>IF(Criterios!B77="","",77)</f>
        <v/>
      </c>
    </row>
    <row r="350">
      <c r="A350">
        <f>IF(Criterios!B77="","",Criterios!B77)</f>
        <v/>
      </c>
      <c r="B350">
        <f>IF(Criterios!B77="","",Criterios!D77/100)</f>
        <v/>
      </c>
      <c r="C350">
        <f>IF(Criterios!B77="","",'Satisfactorio')</f>
        <v/>
      </c>
      <c r="D350">
        <f>IF(Criterios!B77="","",Criterios!H77)</f>
        <v/>
      </c>
      <c r="E350">
        <f>IF(Criterios!B77="","",75)</f>
        <v/>
      </c>
      <c r="F350">
        <f>IF(Criterios!B77="","",Criterios!A77)</f>
        <v/>
      </c>
      <c r="G350">
        <f>IF(Criterios!B77="","",77)</f>
        <v/>
      </c>
    </row>
    <row r="351">
      <c r="A351">
        <f>IF(Criterios!B77="","",Criterios!B77)</f>
        <v/>
      </c>
      <c r="B351">
        <f>IF(Criterios!B77="","",Criterios!D77/100)</f>
        <v/>
      </c>
      <c r="C351">
        <f>IF(Criterios!B77="","",'Excelente')</f>
        <v/>
      </c>
      <c r="D351">
        <f>IF(Criterios!B77="","",Criterios!I77)</f>
        <v/>
      </c>
      <c r="E351">
        <f>IF(Criterios!B77="","",100)</f>
        <v/>
      </c>
      <c r="F351">
        <f>IF(Criterios!B77="","",Criterios!A77)</f>
        <v/>
      </c>
      <c r="G351">
        <f>IF(Criterios!B77="","",77)</f>
        <v/>
      </c>
    </row>
    <row r="352">
      <c r="A352">
        <f>IF(Criterios!B78="","",Criterios!B78)</f>
        <v/>
      </c>
      <c r="B352">
        <f>IF(Criterios!B78="","",Criterios!D78/100)</f>
        <v/>
      </c>
      <c r="C352">
        <f>IF(Criterios!B78="","",'Insatisfactorio')</f>
        <v/>
      </c>
      <c r="D352">
        <f>IF(Criterios!B78="","",Criterios!E78)</f>
        <v/>
      </c>
      <c r="E352">
        <f>IF(Criterios!B78="","",0)</f>
        <v/>
      </c>
      <c r="F352">
        <f>IF(Criterios!B78="","",Criterios!A78)</f>
        <v/>
      </c>
      <c r="G352">
        <f>IF(Criterios!B78="","",78)</f>
        <v/>
      </c>
    </row>
    <row r="353">
      <c r="A353">
        <f>IF(Criterios!B78="","",Criterios!B78)</f>
        <v/>
      </c>
      <c r="B353">
        <f>IF(Criterios!B78="","",Criterios!D78/100)</f>
        <v/>
      </c>
      <c r="C353">
        <f>IF(Criterios!B78="","",'Necesitas_Mejorar')</f>
        <v/>
      </c>
      <c r="D353">
        <f>IF(Criterios!B78="","",Criterios!F78)</f>
        <v/>
      </c>
      <c r="E353">
        <f>IF(Criterios!B78="","",25)</f>
        <v/>
      </c>
      <c r="F353">
        <f>IF(Criterios!B78="","",Criterios!A78)</f>
        <v/>
      </c>
      <c r="G353">
        <f>IF(Criterios!B78="","",78)</f>
        <v/>
      </c>
    </row>
    <row r="354">
      <c r="A354">
        <f>IF(Criterios!B78="","",Criterios!B78)</f>
        <v/>
      </c>
      <c r="B354">
        <f>IF(Criterios!B78="","",Criterios!D78/100)</f>
        <v/>
      </c>
      <c r="C354">
        <f>IF(Criterios!B78="","",'Bueno')</f>
        <v/>
      </c>
      <c r="D354">
        <f>IF(Criterios!B78="","",Criterios!G78)</f>
        <v/>
      </c>
      <c r="E354">
        <f>IF(Criterios!B78="","",50)</f>
        <v/>
      </c>
      <c r="F354">
        <f>IF(Criterios!B78="","",Criterios!A78)</f>
        <v/>
      </c>
      <c r="G354">
        <f>IF(Criterios!B78="","",78)</f>
        <v/>
      </c>
    </row>
    <row r="355">
      <c r="A355">
        <f>IF(Criterios!B78="","",Criterios!B78)</f>
        <v/>
      </c>
      <c r="B355">
        <f>IF(Criterios!B78="","",Criterios!D78/100)</f>
        <v/>
      </c>
      <c r="C355">
        <f>IF(Criterios!B78="","",'Satisfactorio')</f>
        <v/>
      </c>
      <c r="D355">
        <f>IF(Criterios!B78="","",Criterios!H78)</f>
        <v/>
      </c>
      <c r="E355">
        <f>IF(Criterios!B78="","",75)</f>
        <v/>
      </c>
      <c r="F355">
        <f>IF(Criterios!B78="","",Criterios!A78)</f>
        <v/>
      </c>
      <c r="G355">
        <f>IF(Criterios!B78="","",78)</f>
        <v/>
      </c>
    </row>
    <row r="356">
      <c r="A356">
        <f>IF(Criterios!B78="","",Criterios!B78)</f>
        <v/>
      </c>
      <c r="B356">
        <f>IF(Criterios!B78="","",Criterios!D78/100)</f>
        <v/>
      </c>
      <c r="C356">
        <f>IF(Criterios!B78="","",'Excelente')</f>
        <v/>
      </c>
      <c r="D356">
        <f>IF(Criterios!B78="","",Criterios!I78)</f>
        <v/>
      </c>
      <c r="E356">
        <f>IF(Criterios!B78="","",100)</f>
        <v/>
      </c>
      <c r="F356">
        <f>IF(Criterios!B78="","",Criterios!A78)</f>
        <v/>
      </c>
      <c r="G356">
        <f>IF(Criterios!B78="","",78)</f>
        <v/>
      </c>
    </row>
    <row r="357">
      <c r="A357">
        <f>IF(Criterios!B79="","",Criterios!B79)</f>
        <v/>
      </c>
      <c r="B357">
        <f>IF(Criterios!B79="","",Criterios!D79/100)</f>
        <v/>
      </c>
      <c r="C357">
        <f>IF(Criterios!B79="","",'Insatisfactorio')</f>
        <v/>
      </c>
      <c r="D357">
        <f>IF(Criterios!B79="","",Criterios!E79)</f>
        <v/>
      </c>
      <c r="E357">
        <f>IF(Criterios!B79="","",0)</f>
        <v/>
      </c>
      <c r="F357">
        <f>IF(Criterios!B79="","",Criterios!A79)</f>
        <v/>
      </c>
      <c r="G357">
        <f>IF(Criterios!B79="","",79)</f>
        <v/>
      </c>
    </row>
    <row r="358">
      <c r="A358">
        <f>IF(Criterios!B79="","",Criterios!B79)</f>
        <v/>
      </c>
      <c r="B358">
        <f>IF(Criterios!B79="","",Criterios!D79/100)</f>
        <v/>
      </c>
      <c r="C358">
        <f>IF(Criterios!B79="","",'Necesitas_Mejorar')</f>
        <v/>
      </c>
      <c r="D358">
        <f>IF(Criterios!B79="","",Criterios!F79)</f>
        <v/>
      </c>
      <c r="E358">
        <f>IF(Criterios!B79="","",25)</f>
        <v/>
      </c>
      <c r="F358">
        <f>IF(Criterios!B79="","",Criterios!A79)</f>
        <v/>
      </c>
      <c r="G358">
        <f>IF(Criterios!B79="","",79)</f>
        <v/>
      </c>
    </row>
    <row r="359">
      <c r="A359">
        <f>IF(Criterios!B79="","",Criterios!B79)</f>
        <v/>
      </c>
      <c r="B359">
        <f>IF(Criterios!B79="","",Criterios!D79/100)</f>
        <v/>
      </c>
      <c r="C359">
        <f>IF(Criterios!B79="","",'Bueno')</f>
        <v/>
      </c>
      <c r="D359">
        <f>IF(Criterios!B79="","",Criterios!G79)</f>
        <v/>
      </c>
      <c r="E359">
        <f>IF(Criterios!B79="","",50)</f>
        <v/>
      </c>
      <c r="F359">
        <f>IF(Criterios!B79="","",Criterios!A79)</f>
        <v/>
      </c>
      <c r="G359">
        <f>IF(Criterios!B79="","",79)</f>
        <v/>
      </c>
    </row>
    <row r="360">
      <c r="A360">
        <f>IF(Criterios!B79="","",Criterios!B79)</f>
        <v/>
      </c>
      <c r="B360">
        <f>IF(Criterios!B79="","",Criterios!D79/100)</f>
        <v/>
      </c>
      <c r="C360">
        <f>IF(Criterios!B79="","",'Satisfactorio')</f>
        <v/>
      </c>
      <c r="D360">
        <f>IF(Criterios!B79="","",Criterios!H79)</f>
        <v/>
      </c>
      <c r="E360">
        <f>IF(Criterios!B79="","",75)</f>
        <v/>
      </c>
      <c r="F360">
        <f>IF(Criterios!B79="","",Criterios!A79)</f>
        <v/>
      </c>
      <c r="G360">
        <f>IF(Criterios!B79="","",79)</f>
        <v/>
      </c>
    </row>
    <row r="361">
      <c r="A361">
        <f>IF(Criterios!B79="","",Criterios!B79)</f>
        <v/>
      </c>
      <c r="B361">
        <f>IF(Criterios!B79="","",Criterios!D79/100)</f>
        <v/>
      </c>
      <c r="C361">
        <f>IF(Criterios!B79="","",'Excelente')</f>
        <v/>
      </c>
      <c r="D361">
        <f>IF(Criterios!B79="","",Criterios!I79)</f>
        <v/>
      </c>
      <c r="E361">
        <f>IF(Criterios!B79="","",100)</f>
        <v/>
      </c>
      <c r="F361">
        <f>IF(Criterios!B79="","",Criterios!A79)</f>
        <v/>
      </c>
      <c r="G361">
        <f>IF(Criterios!B79="","",79)</f>
        <v/>
      </c>
    </row>
    <row r="362">
      <c r="A362">
        <f>IF(Criterios!B80="","",Criterios!B80)</f>
        <v/>
      </c>
      <c r="B362">
        <f>IF(Criterios!B80="","",Criterios!D80/100)</f>
        <v/>
      </c>
      <c r="C362">
        <f>IF(Criterios!B80="","",'Insatisfactorio')</f>
        <v/>
      </c>
      <c r="D362">
        <f>IF(Criterios!B80="","",Criterios!E80)</f>
        <v/>
      </c>
      <c r="E362">
        <f>IF(Criterios!B80="","",0)</f>
        <v/>
      </c>
      <c r="F362">
        <f>IF(Criterios!B80="","",Criterios!A80)</f>
        <v/>
      </c>
      <c r="G362">
        <f>IF(Criterios!B80="","",80)</f>
        <v/>
      </c>
    </row>
    <row r="363">
      <c r="A363">
        <f>IF(Criterios!B80="","",Criterios!B80)</f>
        <v/>
      </c>
      <c r="B363">
        <f>IF(Criterios!B80="","",Criterios!D80/100)</f>
        <v/>
      </c>
      <c r="C363">
        <f>IF(Criterios!B80="","",'Necesitas_Mejorar')</f>
        <v/>
      </c>
      <c r="D363">
        <f>IF(Criterios!B80="","",Criterios!F80)</f>
        <v/>
      </c>
      <c r="E363">
        <f>IF(Criterios!B80="","",25)</f>
        <v/>
      </c>
      <c r="F363">
        <f>IF(Criterios!B80="","",Criterios!A80)</f>
        <v/>
      </c>
      <c r="G363">
        <f>IF(Criterios!B80="","",80)</f>
        <v/>
      </c>
    </row>
    <row r="364">
      <c r="A364">
        <f>IF(Criterios!B80="","",Criterios!B80)</f>
        <v/>
      </c>
      <c r="B364">
        <f>IF(Criterios!B80="","",Criterios!D80/100)</f>
        <v/>
      </c>
      <c r="C364">
        <f>IF(Criterios!B80="","",'Bueno')</f>
        <v/>
      </c>
      <c r="D364">
        <f>IF(Criterios!B80="","",Criterios!G80)</f>
        <v/>
      </c>
      <c r="E364">
        <f>IF(Criterios!B80="","",50)</f>
        <v/>
      </c>
      <c r="F364">
        <f>IF(Criterios!B80="","",Criterios!A80)</f>
        <v/>
      </c>
      <c r="G364">
        <f>IF(Criterios!B80="","",80)</f>
        <v/>
      </c>
    </row>
    <row r="365">
      <c r="A365">
        <f>IF(Criterios!B80="","",Criterios!B80)</f>
        <v/>
      </c>
      <c r="B365">
        <f>IF(Criterios!B80="","",Criterios!D80/100)</f>
        <v/>
      </c>
      <c r="C365">
        <f>IF(Criterios!B80="","",'Satisfactorio')</f>
        <v/>
      </c>
      <c r="D365">
        <f>IF(Criterios!B80="","",Criterios!H80)</f>
        <v/>
      </c>
      <c r="E365">
        <f>IF(Criterios!B80="","",75)</f>
        <v/>
      </c>
      <c r="F365">
        <f>IF(Criterios!B80="","",Criterios!A80)</f>
        <v/>
      </c>
      <c r="G365">
        <f>IF(Criterios!B80="","",80)</f>
        <v/>
      </c>
    </row>
    <row r="366">
      <c r="A366">
        <f>IF(Criterios!B80="","",Criterios!B80)</f>
        <v/>
      </c>
      <c r="B366">
        <f>IF(Criterios!B80="","",Criterios!D80/100)</f>
        <v/>
      </c>
      <c r="C366">
        <f>IF(Criterios!B80="","",'Excelente')</f>
        <v/>
      </c>
      <c r="D366">
        <f>IF(Criterios!B80="","",Criterios!I80)</f>
        <v/>
      </c>
      <c r="E366">
        <f>IF(Criterios!B80="","",100)</f>
        <v/>
      </c>
      <c r="F366">
        <f>IF(Criterios!B80="","",Criterios!A80)</f>
        <v/>
      </c>
      <c r="G366">
        <f>IF(Criterios!B80="","",80)</f>
        <v/>
      </c>
    </row>
    <row r="367">
      <c r="A367">
        <f>IF(Criterios!B81="","",Criterios!B81)</f>
        <v/>
      </c>
      <c r="B367">
        <f>IF(Criterios!B81="","",Criterios!D81/100)</f>
        <v/>
      </c>
      <c r="C367">
        <f>IF(Criterios!B81="","",'Insatisfactorio')</f>
        <v/>
      </c>
      <c r="D367">
        <f>IF(Criterios!B81="","",Criterios!E81)</f>
        <v/>
      </c>
      <c r="E367">
        <f>IF(Criterios!B81="","",0)</f>
        <v/>
      </c>
      <c r="F367">
        <f>IF(Criterios!B81="","",Criterios!A81)</f>
        <v/>
      </c>
      <c r="G367">
        <f>IF(Criterios!B81="","",81)</f>
        <v/>
      </c>
    </row>
    <row r="368">
      <c r="A368">
        <f>IF(Criterios!B81="","",Criterios!B81)</f>
        <v/>
      </c>
      <c r="B368">
        <f>IF(Criterios!B81="","",Criterios!D81/100)</f>
        <v/>
      </c>
      <c r="C368">
        <f>IF(Criterios!B81="","",'Necesitas_Mejorar')</f>
        <v/>
      </c>
      <c r="D368">
        <f>IF(Criterios!B81="","",Criterios!F81)</f>
        <v/>
      </c>
      <c r="E368">
        <f>IF(Criterios!B81="","",25)</f>
        <v/>
      </c>
      <c r="F368">
        <f>IF(Criterios!B81="","",Criterios!A81)</f>
        <v/>
      </c>
      <c r="G368">
        <f>IF(Criterios!B81="","",81)</f>
        <v/>
      </c>
    </row>
    <row r="369">
      <c r="A369">
        <f>IF(Criterios!B81="","",Criterios!B81)</f>
        <v/>
      </c>
      <c r="B369">
        <f>IF(Criterios!B81="","",Criterios!D81/100)</f>
        <v/>
      </c>
      <c r="C369">
        <f>IF(Criterios!B81="","",'Bueno')</f>
        <v/>
      </c>
      <c r="D369">
        <f>IF(Criterios!B81="","",Criterios!G81)</f>
        <v/>
      </c>
      <c r="E369">
        <f>IF(Criterios!B81="","",50)</f>
        <v/>
      </c>
      <c r="F369">
        <f>IF(Criterios!B81="","",Criterios!A81)</f>
        <v/>
      </c>
      <c r="G369">
        <f>IF(Criterios!B81="","",81)</f>
        <v/>
      </c>
    </row>
    <row r="370">
      <c r="A370">
        <f>IF(Criterios!B81="","",Criterios!B81)</f>
        <v/>
      </c>
      <c r="B370">
        <f>IF(Criterios!B81="","",Criterios!D81/100)</f>
        <v/>
      </c>
      <c r="C370">
        <f>IF(Criterios!B81="","",'Satisfactorio')</f>
        <v/>
      </c>
      <c r="D370">
        <f>IF(Criterios!B81="","",Criterios!H81)</f>
        <v/>
      </c>
      <c r="E370">
        <f>IF(Criterios!B81="","",75)</f>
        <v/>
      </c>
      <c r="F370">
        <f>IF(Criterios!B81="","",Criterios!A81)</f>
        <v/>
      </c>
      <c r="G370">
        <f>IF(Criterios!B81="","",81)</f>
        <v/>
      </c>
    </row>
    <row r="371">
      <c r="A371">
        <f>IF(Criterios!B81="","",Criterios!B81)</f>
        <v/>
      </c>
      <c r="B371">
        <f>IF(Criterios!B81="","",Criterios!D81/100)</f>
        <v/>
      </c>
      <c r="C371">
        <f>IF(Criterios!B81="","",'Excelente')</f>
        <v/>
      </c>
      <c r="D371">
        <f>IF(Criterios!B81="","",Criterios!I81)</f>
        <v/>
      </c>
      <c r="E371">
        <f>IF(Criterios!B81="","",100)</f>
        <v/>
      </c>
      <c r="F371">
        <f>IF(Criterios!B81="","",Criterios!A81)</f>
        <v/>
      </c>
      <c r="G371">
        <f>IF(Criterios!B81="","",81)</f>
        <v/>
      </c>
    </row>
    <row r="372">
      <c r="A372">
        <f>IF(Criterios!B82="","",Criterios!B82)</f>
        <v/>
      </c>
      <c r="B372">
        <f>IF(Criterios!B82="","",Criterios!D82/100)</f>
        <v/>
      </c>
      <c r="C372">
        <f>IF(Criterios!B82="","",'Insatisfactorio')</f>
        <v/>
      </c>
      <c r="D372">
        <f>IF(Criterios!B82="","",Criterios!E82)</f>
        <v/>
      </c>
      <c r="E372">
        <f>IF(Criterios!B82="","",0)</f>
        <v/>
      </c>
      <c r="F372">
        <f>IF(Criterios!B82="","",Criterios!A82)</f>
        <v/>
      </c>
      <c r="G372">
        <f>IF(Criterios!B82="","",82)</f>
        <v/>
      </c>
    </row>
    <row r="373">
      <c r="A373">
        <f>IF(Criterios!B82="","",Criterios!B82)</f>
        <v/>
      </c>
      <c r="B373">
        <f>IF(Criterios!B82="","",Criterios!D82/100)</f>
        <v/>
      </c>
      <c r="C373">
        <f>IF(Criterios!B82="","",'Necesitas_Mejorar')</f>
        <v/>
      </c>
      <c r="D373">
        <f>IF(Criterios!B82="","",Criterios!F82)</f>
        <v/>
      </c>
      <c r="E373">
        <f>IF(Criterios!B82="","",25)</f>
        <v/>
      </c>
      <c r="F373">
        <f>IF(Criterios!B82="","",Criterios!A82)</f>
        <v/>
      </c>
      <c r="G373">
        <f>IF(Criterios!B82="","",82)</f>
        <v/>
      </c>
    </row>
    <row r="374">
      <c r="A374">
        <f>IF(Criterios!B82="","",Criterios!B82)</f>
        <v/>
      </c>
      <c r="B374">
        <f>IF(Criterios!B82="","",Criterios!D82/100)</f>
        <v/>
      </c>
      <c r="C374">
        <f>IF(Criterios!B82="","",'Bueno')</f>
        <v/>
      </c>
      <c r="D374">
        <f>IF(Criterios!B82="","",Criterios!G82)</f>
        <v/>
      </c>
      <c r="E374">
        <f>IF(Criterios!B82="","",50)</f>
        <v/>
      </c>
      <c r="F374">
        <f>IF(Criterios!B82="","",Criterios!A82)</f>
        <v/>
      </c>
      <c r="G374">
        <f>IF(Criterios!B82="","",82)</f>
        <v/>
      </c>
    </row>
    <row r="375">
      <c r="A375">
        <f>IF(Criterios!B82="","",Criterios!B82)</f>
        <v/>
      </c>
      <c r="B375">
        <f>IF(Criterios!B82="","",Criterios!D82/100)</f>
        <v/>
      </c>
      <c r="C375">
        <f>IF(Criterios!B82="","",'Satisfactorio')</f>
        <v/>
      </c>
      <c r="D375">
        <f>IF(Criterios!B82="","",Criterios!H82)</f>
        <v/>
      </c>
      <c r="E375">
        <f>IF(Criterios!B82="","",75)</f>
        <v/>
      </c>
      <c r="F375">
        <f>IF(Criterios!B82="","",Criterios!A82)</f>
        <v/>
      </c>
      <c r="G375">
        <f>IF(Criterios!B82="","",82)</f>
        <v/>
      </c>
    </row>
    <row r="376">
      <c r="A376">
        <f>IF(Criterios!B82="","",Criterios!B82)</f>
        <v/>
      </c>
      <c r="B376">
        <f>IF(Criterios!B82="","",Criterios!D82/100)</f>
        <v/>
      </c>
      <c r="C376">
        <f>IF(Criterios!B82="","",'Excelente')</f>
        <v/>
      </c>
      <c r="D376">
        <f>IF(Criterios!B82="","",Criterios!I82)</f>
        <v/>
      </c>
      <c r="E376">
        <f>IF(Criterios!B82="","",100)</f>
        <v/>
      </c>
      <c r="F376">
        <f>IF(Criterios!B82="","",Criterios!A82)</f>
        <v/>
      </c>
      <c r="G376">
        <f>IF(Criterios!B82="","",82)</f>
        <v/>
      </c>
    </row>
    <row r="377">
      <c r="A377">
        <f>IF(Criterios!B83="","",Criterios!B83)</f>
        <v/>
      </c>
      <c r="B377">
        <f>IF(Criterios!B83="","",Criterios!D83/100)</f>
        <v/>
      </c>
      <c r="C377">
        <f>IF(Criterios!B83="","",'Insatisfactorio')</f>
        <v/>
      </c>
      <c r="D377">
        <f>IF(Criterios!B83="","",Criterios!E83)</f>
        <v/>
      </c>
      <c r="E377">
        <f>IF(Criterios!B83="","",0)</f>
        <v/>
      </c>
      <c r="F377">
        <f>IF(Criterios!B83="","",Criterios!A83)</f>
        <v/>
      </c>
      <c r="G377">
        <f>IF(Criterios!B83="","",83)</f>
        <v/>
      </c>
    </row>
    <row r="378">
      <c r="A378">
        <f>IF(Criterios!B83="","",Criterios!B83)</f>
        <v/>
      </c>
      <c r="B378">
        <f>IF(Criterios!B83="","",Criterios!D83/100)</f>
        <v/>
      </c>
      <c r="C378">
        <f>IF(Criterios!B83="","",'Necesitas_Mejorar')</f>
        <v/>
      </c>
      <c r="D378">
        <f>IF(Criterios!B83="","",Criterios!F83)</f>
        <v/>
      </c>
      <c r="E378">
        <f>IF(Criterios!B83="","",25)</f>
        <v/>
      </c>
      <c r="F378">
        <f>IF(Criterios!B83="","",Criterios!A83)</f>
        <v/>
      </c>
      <c r="G378">
        <f>IF(Criterios!B83="","",83)</f>
        <v/>
      </c>
    </row>
    <row r="379">
      <c r="A379">
        <f>IF(Criterios!B83="","",Criterios!B83)</f>
        <v/>
      </c>
      <c r="B379">
        <f>IF(Criterios!B83="","",Criterios!D83/100)</f>
        <v/>
      </c>
      <c r="C379">
        <f>IF(Criterios!B83="","",'Bueno')</f>
        <v/>
      </c>
      <c r="D379">
        <f>IF(Criterios!B83="","",Criterios!G83)</f>
        <v/>
      </c>
      <c r="E379">
        <f>IF(Criterios!B83="","",50)</f>
        <v/>
      </c>
      <c r="F379">
        <f>IF(Criterios!B83="","",Criterios!A83)</f>
        <v/>
      </c>
      <c r="G379">
        <f>IF(Criterios!B83="","",83)</f>
        <v/>
      </c>
    </row>
    <row r="380">
      <c r="A380">
        <f>IF(Criterios!B83="","",Criterios!B83)</f>
        <v/>
      </c>
      <c r="B380">
        <f>IF(Criterios!B83="","",Criterios!D83/100)</f>
        <v/>
      </c>
      <c r="C380">
        <f>IF(Criterios!B83="","",'Satisfactorio')</f>
        <v/>
      </c>
      <c r="D380">
        <f>IF(Criterios!B83="","",Criterios!H83)</f>
        <v/>
      </c>
      <c r="E380">
        <f>IF(Criterios!B83="","",75)</f>
        <v/>
      </c>
      <c r="F380">
        <f>IF(Criterios!B83="","",Criterios!A83)</f>
        <v/>
      </c>
      <c r="G380">
        <f>IF(Criterios!B83="","",83)</f>
        <v/>
      </c>
    </row>
    <row r="381">
      <c r="A381">
        <f>IF(Criterios!B83="","",Criterios!B83)</f>
        <v/>
      </c>
      <c r="B381">
        <f>IF(Criterios!B83="","",Criterios!D83/100)</f>
        <v/>
      </c>
      <c r="C381">
        <f>IF(Criterios!B83="","",'Excelente')</f>
        <v/>
      </c>
      <c r="D381">
        <f>IF(Criterios!B83="","",Criterios!I83)</f>
        <v/>
      </c>
      <c r="E381">
        <f>IF(Criterios!B83="","",100)</f>
        <v/>
      </c>
      <c r="F381">
        <f>IF(Criterios!B83="","",Criterios!A83)</f>
        <v/>
      </c>
      <c r="G381">
        <f>IF(Criterios!B83="","",83)</f>
        <v/>
      </c>
    </row>
    <row r="382">
      <c r="A382">
        <f>IF(Criterios!B84="","",Criterios!B84)</f>
        <v/>
      </c>
      <c r="B382">
        <f>IF(Criterios!B84="","",Criterios!D84/100)</f>
        <v/>
      </c>
      <c r="C382">
        <f>IF(Criterios!B84="","",'Insatisfactorio')</f>
        <v/>
      </c>
      <c r="D382">
        <f>IF(Criterios!B84="","",Criterios!E84)</f>
        <v/>
      </c>
      <c r="E382">
        <f>IF(Criterios!B84="","",0)</f>
        <v/>
      </c>
      <c r="F382">
        <f>IF(Criterios!B84="","",Criterios!A84)</f>
        <v/>
      </c>
      <c r="G382">
        <f>IF(Criterios!B84="","",84)</f>
        <v/>
      </c>
    </row>
    <row r="383">
      <c r="A383">
        <f>IF(Criterios!B84="","",Criterios!B84)</f>
        <v/>
      </c>
      <c r="B383">
        <f>IF(Criterios!B84="","",Criterios!D84/100)</f>
        <v/>
      </c>
      <c r="C383">
        <f>IF(Criterios!B84="","",'Necesitas_Mejorar')</f>
        <v/>
      </c>
      <c r="D383">
        <f>IF(Criterios!B84="","",Criterios!F84)</f>
        <v/>
      </c>
      <c r="E383">
        <f>IF(Criterios!B84="","",25)</f>
        <v/>
      </c>
      <c r="F383">
        <f>IF(Criterios!B84="","",Criterios!A84)</f>
        <v/>
      </c>
      <c r="G383">
        <f>IF(Criterios!B84="","",84)</f>
        <v/>
      </c>
    </row>
    <row r="384">
      <c r="A384">
        <f>IF(Criterios!B84="","",Criterios!B84)</f>
        <v/>
      </c>
      <c r="B384">
        <f>IF(Criterios!B84="","",Criterios!D84/100)</f>
        <v/>
      </c>
      <c r="C384">
        <f>IF(Criterios!B84="","",'Bueno')</f>
        <v/>
      </c>
      <c r="D384">
        <f>IF(Criterios!B84="","",Criterios!G84)</f>
        <v/>
      </c>
      <c r="E384">
        <f>IF(Criterios!B84="","",50)</f>
        <v/>
      </c>
      <c r="F384">
        <f>IF(Criterios!B84="","",Criterios!A84)</f>
        <v/>
      </c>
      <c r="G384">
        <f>IF(Criterios!B84="","",84)</f>
        <v/>
      </c>
    </row>
    <row r="385">
      <c r="A385">
        <f>IF(Criterios!B84="","",Criterios!B84)</f>
        <v/>
      </c>
      <c r="B385">
        <f>IF(Criterios!B84="","",Criterios!D84/100)</f>
        <v/>
      </c>
      <c r="C385">
        <f>IF(Criterios!B84="","",'Satisfactorio')</f>
        <v/>
      </c>
      <c r="D385">
        <f>IF(Criterios!B84="","",Criterios!H84)</f>
        <v/>
      </c>
      <c r="E385">
        <f>IF(Criterios!B84="","",75)</f>
        <v/>
      </c>
      <c r="F385">
        <f>IF(Criterios!B84="","",Criterios!A84)</f>
        <v/>
      </c>
      <c r="G385">
        <f>IF(Criterios!B84="","",84)</f>
        <v/>
      </c>
    </row>
    <row r="386">
      <c r="A386">
        <f>IF(Criterios!B84="","",Criterios!B84)</f>
        <v/>
      </c>
      <c r="B386">
        <f>IF(Criterios!B84="","",Criterios!D84/100)</f>
        <v/>
      </c>
      <c r="C386">
        <f>IF(Criterios!B84="","",'Excelente')</f>
        <v/>
      </c>
      <c r="D386">
        <f>IF(Criterios!B84="","",Criterios!I84)</f>
        <v/>
      </c>
      <c r="E386">
        <f>IF(Criterios!B84="","",100)</f>
        <v/>
      </c>
      <c r="F386">
        <f>IF(Criterios!B84="","",Criterios!A84)</f>
        <v/>
      </c>
      <c r="G386">
        <f>IF(Criterios!B84="","",84)</f>
        <v/>
      </c>
    </row>
    <row r="387">
      <c r="A387">
        <f>IF(Criterios!B85="","",Criterios!B85)</f>
        <v/>
      </c>
      <c r="B387">
        <f>IF(Criterios!B85="","",Criterios!D85/100)</f>
        <v/>
      </c>
      <c r="C387">
        <f>IF(Criterios!B85="","",'Insatisfactorio')</f>
        <v/>
      </c>
      <c r="D387">
        <f>IF(Criterios!B85="","",Criterios!E85)</f>
        <v/>
      </c>
      <c r="E387">
        <f>IF(Criterios!B85="","",0)</f>
        <v/>
      </c>
      <c r="F387">
        <f>IF(Criterios!B85="","",Criterios!A85)</f>
        <v/>
      </c>
      <c r="G387">
        <f>IF(Criterios!B85="","",85)</f>
        <v/>
      </c>
    </row>
    <row r="388">
      <c r="A388">
        <f>IF(Criterios!B85="","",Criterios!B85)</f>
        <v/>
      </c>
      <c r="B388">
        <f>IF(Criterios!B85="","",Criterios!D85/100)</f>
        <v/>
      </c>
      <c r="C388">
        <f>IF(Criterios!B85="","",'Necesitas_Mejorar')</f>
        <v/>
      </c>
      <c r="D388">
        <f>IF(Criterios!B85="","",Criterios!F85)</f>
        <v/>
      </c>
      <c r="E388">
        <f>IF(Criterios!B85="","",25)</f>
        <v/>
      </c>
      <c r="F388">
        <f>IF(Criterios!B85="","",Criterios!A85)</f>
        <v/>
      </c>
      <c r="G388">
        <f>IF(Criterios!B85="","",85)</f>
        <v/>
      </c>
    </row>
    <row r="389">
      <c r="A389">
        <f>IF(Criterios!B85="","",Criterios!B85)</f>
        <v/>
      </c>
      <c r="B389">
        <f>IF(Criterios!B85="","",Criterios!D85/100)</f>
        <v/>
      </c>
      <c r="C389">
        <f>IF(Criterios!B85="","",'Bueno')</f>
        <v/>
      </c>
      <c r="D389">
        <f>IF(Criterios!B85="","",Criterios!G85)</f>
        <v/>
      </c>
      <c r="E389">
        <f>IF(Criterios!B85="","",50)</f>
        <v/>
      </c>
      <c r="F389">
        <f>IF(Criterios!B85="","",Criterios!A85)</f>
        <v/>
      </c>
      <c r="G389">
        <f>IF(Criterios!B85="","",85)</f>
        <v/>
      </c>
    </row>
    <row r="390">
      <c r="A390">
        <f>IF(Criterios!B85="","",Criterios!B85)</f>
        <v/>
      </c>
      <c r="B390">
        <f>IF(Criterios!B85="","",Criterios!D85/100)</f>
        <v/>
      </c>
      <c r="C390">
        <f>IF(Criterios!B85="","",'Satisfactorio')</f>
        <v/>
      </c>
      <c r="D390">
        <f>IF(Criterios!B85="","",Criterios!H85)</f>
        <v/>
      </c>
      <c r="E390">
        <f>IF(Criterios!B85="","",75)</f>
        <v/>
      </c>
      <c r="F390">
        <f>IF(Criterios!B85="","",Criterios!A85)</f>
        <v/>
      </c>
      <c r="G390">
        <f>IF(Criterios!B85="","",85)</f>
        <v/>
      </c>
    </row>
    <row r="391">
      <c r="A391">
        <f>IF(Criterios!B85="","",Criterios!B85)</f>
        <v/>
      </c>
      <c r="B391">
        <f>IF(Criterios!B85="","",Criterios!D85/100)</f>
        <v/>
      </c>
      <c r="C391">
        <f>IF(Criterios!B85="","",'Excelente')</f>
        <v/>
      </c>
      <c r="D391">
        <f>IF(Criterios!B85="","",Criterios!I85)</f>
        <v/>
      </c>
      <c r="E391">
        <f>IF(Criterios!B85="","",100)</f>
        <v/>
      </c>
      <c r="F391">
        <f>IF(Criterios!B85="","",Criterios!A85)</f>
        <v/>
      </c>
      <c r="G391">
        <f>IF(Criterios!B85="","",85)</f>
        <v/>
      </c>
    </row>
    <row r="392">
      <c r="A392">
        <f>IF(Criterios!B86="","",Criterios!B86)</f>
        <v/>
      </c>
      <c r="B392">
        <f>IF(Criterios!B86="","",Criterios!D86/100)</f>
        <v/>
      </c>
      <c r="C392">
        <f>IF(Criterios!B86="","",'Insatisfactorio')</f>
        <v/>
      </c>
      <c r="D392">
        <f>IF(Criterios!B86="","",Criterios!E86)</f>
        <v/>
      </c>
      <c r="E392">
        <f>IF(Criterios!B86="","",0)</f>
        <v/>
      </c>
      <c r="F392">
        <f>IF(Criterios!B86="","",Criterios!A86)</f>
        <v/>
      </c>
      <c r="G392">
        <f>IF(Criterios!B86="","",86)</f>
        <v/>
      </c>
    </row>
    <row r="393">
      <c r="A393">
        <f>IF(Criterios!B86="","",Criterios!B86)</f>
        <v/>
      </c>
      <c r="B393">
        <f>IF(Criterios!B86="","",Criterios!D86/100)</f>
        <v/>
      </c>
      <c r="C393">
        <f>IF(Criterios!B86="","",'Necesitas_Mejorar')</f>
        <v/>
      </c>
      <c r="D393">
        <f>IF(Criterios!B86="","",Criterios!F86)</f>
        <v/>
      </c>
      <c r="E393">
        <f>IF(Criterios!B86="","",25)</f>
        <v/>
      </c>
      <c r="F393">
        <f>IF(Criterios!B86="","",Criterios!A86)</f>
        <v/>
      </c>
      <c r="G393">
        <f>IF(Criterios!B86="","",86)</f>
        <v/>
      </c>
    </row>
    <row r="394">
      <c r="A394">
        <f>IF(Criterios!B86="","",Criterios!B86)</f>
        <v/>
      </c>
      <c r="B394">
        <f>IF(Criterios!B86="","",Criterios!D86/100)</f>
        <v/>
      </c>
      <c r="C394">
        <f>IF(Criterios!B86="","",'Bueno')</f>
        <v/>
      </c>
      <c r="D394">
        <f>IF(Criterios!B86="","",Criterios!G86)</f>
        <v/>
      </c>
      <c r="E394">
        <f>IF(Criterios!B86="","",50)</f>
        <v/>
      </c>
      <c r="F394">
        <f>IF(Criterios!B86="","",Criterios!A86)</f>
        <v/>
      </c>
      <c r="G394">
        <f>IF(Criterios!B86="","",86)</f>
        <v/>
      </c>
    </row>
    <row r="395">
      <c r="A395">
        <f>IF(Criterios!B86="","",Criterios!B86)</f>
        <v/>
      </c>
      <c r="B395">
        <f>IF(Criterios!B86="","",Criterios!D86/100)</f>
        <v/>
      </c>
      <c r="C395">
        <f>IF(Criterios!B86="","",'Satisfactorio')</f>
        <v/>
      </c>
      <c r="D395">
        <f>IF(Criterios!B86="","",Criterios!H86)</f>
        <v/>
      </c>
      <c r="E395">
        <f>IF(Criterios!B86="","",75)</f>
        <v/>
      </c>
      <c r="F395">
        <f>IF(Criterios!B86="","",Criterios!A86)</f>
        <v/>
      </c>
      <c r="G395">
        <f>IF(Criterios!B86="","",86)</f>
        <v/>
      </c>
    </row>
    <row r="396">
      <c r="A396">
        <f>IF(Criterios!B86="","",Criterios!B86)</f>
        <v/>
      </c>
      <c r="B396">
        <f>IF(Criterios!B86="","",Criterios!D86/100)</f>
        <v/>
      </c>
      <c r="C396">
        <f>IF(Criterios!B86="","",'Excelente')</f>
        <v/>
      </c>
      <c r="D396">
        <f>IF(Criterios!B86="","",Criterios!I86)</f>
        <v/>
      </c>
      <c r="E396">
        <f>IF(Criterios!B86="","",100)</f>
        <v/>
      </c>
      <c r="F396">
        <f>IF(Criterios!B86="","",Criterios!A86)</f>
        <v/>
      </c>
      <c r="G396">
        <f>IF(Criterios!B86="","",86)</f>
        <v/>
      </c>
    </row>
    <row r="397">
      <c r="A397">
        <f>IF(Criterios!B87="","",Criterios!B87)</f>
        <v/>
      </c>
      <c r="B397">
        <f>IF(Criterios!B87="","",Criterios!D87/100)</f>
        <v/>
      </c>
      <c r="C397">
        <f>IF(Criterios!B87="","",'Insatisfactorio')</f>
        <v/>
      </c>
      <c r="D397">
        <f>IF(Criterios!B87="","",Criterios!E87)</f>
        <v/>
      </c>
      <c r="E397">
        <f>IF(Criterios!B87="","",0)</f>
        <v/>
      </c>
      <c r="F397">
        <f>IF(Criterios!B87="","",Criterios!A87)</f>
        <v/>
      </c>
      <c r="G397">
        <f>IF(Criterios!B87="","",87)</f>
        <v/>
      </c>
    </row>
    <row r="398">
      <c r="A398">
        <f>IF(Criterios!B87="","",Criterios!B87)</f>
        <v/>
      </c>
      <c r="B398">
        <f>IF(Criterios!B87="","",Criterios!D87/100)</f>
        <v/>
      </c>
      <c r="C398">
        <f>IF(Criterios!B87="","",'Necesitas_Mejorar')</f>
        <v/>
      </c>
      <c r="D398">
        <f>IF(Criterios!B87="","",Criterios!F87)</f>
        <v/>
      </c>
      <c r="E398">
        <f>IF(Criterios!B87="","",25)</f>
        <v/>
      </c>
      <c r="F398">
        <f>IF(Criterios!B87="","",Criterios!A87)</f>
        <v/>
      </c>
      <c r="G398">
        <f>IF(Criterios!B87="","",87)</f>
        <v/>
      </c>
    </row>
    <row r="399">
      <c r="A399">
        <f>IF(Criterios!B87="","",Criterios!B87)</f>
        <v/>
      </c>
      <c r="B399">
        <f>IF(Criterios!B87="","",Criterios!D87/100)</f>
        <v/>
      </c>
      <c r="C399">
        <f>IF(Criterios!B87="","",'Bueno')</f>
        <v/>
      </c>
      <c r="D399">
        <f>IF(Criterios!B87="","",Criterios!G87)</f>
        <v/>
      </c>
      <c r="E399">
        <f>IF(Criterios!B87="","",50)</f>
        <v/>
      </c>
      <c r="F399">
        <f>IF(Criterios!B87="","",Criterios!A87)</f>
        <v/>
      </c>
      <c r="G399">
        <f>IF(Criterios!B87="","",87)</f>
        <v/>
      </c>
    </row>
    <row r="400">
      <c r="A400">
        <f>IF(Criterios!B87="","",Criterios!B87)</f>
        <v/>
      </c>
      <c r="B400">
        <f>IF(Criterios!B87="","",Criterios!D87/100)</f>
        <v/>
      </c>
      <c r="C400">
        <f>IF(Criterios!B87="","",'Satisfactorio')</f>
        <v/>
      </c>
      <c r="D400">
        <f>IF(Criterios!B87="","",Criterios!H87)</f>
        <v/>
      </c>
      <c r="E400">
        <f>IF(Criterios!B87="","",75)</f>
        <v/>
      </c>
      <c r="F400">
        <f>IF(Criterios!B87="","",Criterios!A87)</f>
        <v/>
      </c>
      <c r="G400">
        <f>IF(Criterios!B87="","",87)</f>
        <v/>
      </c>
    </row>
    <row r="401">
      <c r="A401">
        <f>IF(Criterios!B87="","",Criterios!B87)</f>
        <v/>
      </c>
      <c r="B401">
        <f>IF(Criterios!B87="","",Criterios!D87/100)</f>
        <v/>
      </c>
      <c r="C401">
        <f>IF(Criterios!B87="","",'Excelente')</f>
        <v/>
      </c>
      <c r="D401">
        <f>IF(Criterios!B87="","",Criterios!I87)</f>
        <v/>
      </c>
      <c r="E401">
        <f>IF(Criterios!B87="","",100)</f>
        <v/>
      </c>
      <c r="F401">
        <f>IF(Criterios!B87="","",Criterios!A87)</f>
        <v/>
      </c>
      <c r="G401">
        <f>IF(Criterios!B87="","",87)</f>
        <v/>
      </c>
    </row>
    <row r="402">
      <c r="A402">
        <f>IF(Criterios!B88="","",Criterios!B88)</f>
        <v/>
      </c>
      <c r="B402">
        <f>IF(Criterios!B88="","",Criterios!D88/100)</f>
        <v/>
      </c>
      <c r="C402">
        <f>IF(Criterios!B88="","",'Insatisfactorio')</f>
        <v/>
      </c>
      <c r="D402">
        <f>IF(Criterios!B88="","",Criterios!E88)</f>
        <v/>
      </c>
      <c r="E402">
        <f>IF(Criterios!B88="","",0)</f>
        <v/>
      </c>
      <c r="F402">
        <f>IF(Criterios!B88="","",Criterios!A88)</f>
        <v/>
      </c>
      <c r="G402">
        <f>IF(Criterios!B88="","",88)</f>
        <v/>
      </c>
    </row>
    <row r="403">
      <c r="A403">
        <f>IF(Criterios!B88="","",Criterios!B88)</f>
        <v/>
      </c>
      <c r="B403">
        <f>IF(Criterios!B88="","",Criterios!D88/100)</f>
        <v/>
      </c>
      <c r="C403">
        <f>IF(Criterios!B88="","",'Necesitas_Mejorar')</f>
        <v/>
      </c>
      <c r="D403">
        <f>IF(Criterios!B88="","",Criterios!F88)</f>
        <v/>
      </c>
      <c r="E403">
        <f>IF(Criterios!B88="","",25)</f>
        <v/>
      </c>
      <c r="F403">
        <f>IF(Criterios!B88="","",Criterios!A88)</f>
        <v/>
      </c>
      <c r="G403">
        <f>IF(Criterios!B88="","",88)</f>
        <v/>
      </c>
    </row>
    <row r="404">
      <c r="A404">
        <f>IF(Criterios!B88="","",Criterios!B88)</f>
        <v/>
      </c>
      <c r="B404">
        <f>IF(Criterios!B88="","",Criterios!D88/100)</f>
        <v/>
      </c>
      <c r="C404">
        <f>IF(Criterios!B88="","",'Bueno')</f>
        <v/>
      </c>
      <c r="D404">
        <f>IF(Criterios!B88="","",Criterios!G88)</f>
        <v/>
      </c>
      <c r="E404">
        <f>IF(Criterios!B88="","",50)</f>
        <v/>
      </c>
      <c r="F404">
        <f>IF(Criterios!B88="","",Criterios!A88)</f>
        <v/>
      </c>
      <c r="G404">
        <f>IF(Criterios!B88="","",88)</f>
        <v/>
      </c>
    </row>
    <row r="405">
      <c r="A405">
        <f>IF(Criterios!B88="","",Criterios!B88)</f>
        <v/>
      </c>
      <c r="B405">
        <f>IF(Criterios!B88="","",Criterios!D88/100)</f>
        <v/>
      </c>
      <c r="C405">
        <f>IF(Criterios!B88="","",'Satisfactorio')</f>
        <v/>
      </c>
      <c r="D405">
        <f>IF(Criterios!B88="","",Criterios!H88)</f>
        <v/>
      </c>
      <c r="E405">
        <f>IF(Criterios!B88="","",75)</f>
        <v/>
      </c>
      <c r="F405">
        <f>IF(Criterios!B88="","",Criterios!A88)</f>
        <v/>
      </c>
      <c r="G405">
        <f>IF(Criterios!B88="","",88)</f>
        <v/>
      </c>
    </row>
    <row r="406">
      <c r="A406">
        <f>IF(Criterios!B88="","",Criterios!B88)</f>
        <v/>
      </c>
      <c r="B406">
        <f>IF(Criterios!B88="","",Criterios!D88/100)</f>
        <v/>
      </c>
      <c r="C406">
        <f>IF(Criterios!B88="","",'Excelente')</f>
        <v/>
      </c>
      <c r="D406">
        <f>IF(Criterios!B88="","",Criterios!I88)</f>
        <v/>
      </c>
      <c r="E406">
        <f>IF(Criterios!B88="","",100)</f>
        <v/>
      </c>
      <c r="F406">
        <f>IF(Criterios!B88="","",Criterios!A88)</f>
        <v/>
      </c>
      <c r="G406">
        <f>IF(Criterios!B88="","",88)</f>
        <v/>
      </c>
    </row>
    <row r="407">
      <c r="A407">
        <f>IF(Criterios!B89="","",Criterios!B89)</f>
        <v/>
      </c>
      <c r="B407">
        <f>IF(Criterios!B89="","",Criterios!D89/100)</f>
        <v/>
      </c>
      <c r="C407">
        <f>IF(Criterios!B89="","",'Insatisfactorio')</f>
        <v/>
      </c>
      <c r="D407">
        <f>IF(Criterios!B89="","",Criterios!E89)</f>
        <v/>
      </c>
      <c r="E407">
        <f>IF(Criterios!B89="","",0)</f>
        <v/>
      </c>
      <c r="F407">
        <f>IF(Criterios!B89="","",Criterios!A89)</f>
        <v/>
      </c>
      <c r="G407">
        <f>IF(Criterios!B89="","",89)</f>
        <v/>
      </c>
    </row>
    <row r="408">
      <c r="A408">
        <f>IF(Criterios!B89="","",Criterios!B89)</f>
        <v/>
      </c>
      <c r="B408">
        <f>IF(Criterios!B89="","",Criterios!D89/100)</f>
        <v/>
      </c>
      <c r="C408">
        <f>IF(Criterios!B89="","",'Necesitas_Mejorar')</f>
        <v/>
      </c>
      <c r="D408">
        <f>IF(Criterios!B89="","",Criterios!F89)</f>
        <v/>
      </c>
      <c r="E408">
        <f>IF(Criterios!B89="","",25)</f>
        <v/>
      </c>
      <c r="F408">
        <f>IF(Criterios!B89="","",Criterios!A89)</f>
        <v/>
      </c>
      <c r="G408">
        <f>IF(Criterios!B89="","",89)</f>
        <v/>
      </c>
    </row>
    <row r="409">
      <c r="A409">
        <f>IF(Criterios!B89="","",Criterios!B89)</f>
        <v/>
      </c>
      <c r="B409">
        <f>IF(Criterios!B89="","",Criterios!D89/100)</f>
        <v/>
      </c>
      <c r="C409">
        <f>IF(Criterios!B89="","",'Bueno')</f>
        <v/>
      </c>
      <c r="D409">
        <f>IF(Criterios!B89="","",Criterios!G89)</f>
        <v/>
      </c>
      <c r="E409">
        <f>IF(Criterios!B89="","",50)</f>
        <v/>
      </c>
      <c r="F409">
        <f>IF(Criterios!B89="","",Criterios!A89)</f>
        <v/>
      </c>
      <c r="G409">
        <f>IF(Criterios!B89="","",89)</f>
        <v/>
      </c>
    </row>
    <row r="410">
      <c r="A410">
        <f>IF(Criterios!B89="","",Criterios!B89)</f>
        <v/>
      </c>
      <c r="B410">
        <f>IF(Criterios!B89="","",Criterios!D89/100)</f>
        <v/>
      </c>
      <c r="C410">
        <f>IF(Criterios!B89="","",'Satisfactorio')</f>
        <v/>
      </c>
      <c r="D410">
        <f>IF(Criterios!B89="","",Criterios!H89)</f>
        <v/>
      </c>
      <c r="E410">
        <f>IF(Criterios!B89="","",75)</f>
        <v/>
      </c>
      <c r="F410">
        <f>IF(Criterios!B89="","",Criterios!A89)</f>
        <v/>
      </c>
      <c r="G410">
        <f>IF(Criterios!B89="","",89)</f>
        <v/>
      </c>
    </row>
    <row r="411">
      <c r="A411">
        <f>IF(Criterios!B89="","",Criterios!B89)</f>
        <v/>
      </c>
      <c r="B411">
        <f>IF(Criterios!B89="","",Criterios!D89/100)</f>
        <v/>
      </c>
      <c r="C411">
        <f>IF(Criterios!B89="","",'Excelente')</f>
        <v/>
      </c>
      <c r="D411">
        <f>IF(Criterios!B89="","",Criterios!I89)</f>
        <v/>
      </c>
      <c r="E411">
        <f>IF(Criterios!B89="","",100)</f>
        <v/>
      </c>
      <c r="F411">
        <f>IF(Criterios!B89="","",Criterios!A89)</f>
        <v/>
      </c>
      <c r="G411">
        <f>IF(Criterios!B89="","",89)</f>
        <v/>
      </c>
    </row>
    <row r="412">
      <c r="A412">
        <f>IF(Criterios!B90="","",Criterios!B90)</f>
        <v/>
      </c>
      <c r="B412">
        <f>IF(Criterios!B90="","",Criterios!D90/100)</f>
        <v/>
      </c>
      <c r="C412">
        <f>IF(Criterios!B90="","",'Insatisfactorio')</f>
        <v/>
      </c>
      <c r="D412">
        <f>IF(Criterios!B90="","",Criterios!E90)</f>
        <v/>
      </c>
      <c r="E412">
        <f>IF(Criterios!B90="","",0)</f>
        <v/>
      </c>
      <c r="F412">
        <f>IF(Criterios!B90="","",Criterios!A90)</f>
        <v/>
      </c>
      <c r="G412">
        <f>IF(Criterios!B90="","",90)</f>
        <v/>
      </c>
    </row>
    <row r="413">
      <c r="A413">
        <f>IF(Criterios!B90="","",Criterios!B90)</f>
        <v/>
      </c>
      <c r="B413">
        <f>IF(Criterios!B90="","",Criterios!D90/100)</f>
        <v/>
      </c>
      <c r="C413">
        <f>IF(Criterios!B90="","",'Necesitas_Mejorar')</f>
        <v/>
      </c>
      <c r="D413">
        <f>IF(Criterios!B90="","",Criterios!F90)</f>
        <v/>
      </c>
      <c r="E413">
        <f>IF(Criterios!B90="","",25)</f>
        <v/>
      </c>
      <c r="F413">
        <f>IF(Criterios!B90="","",Criterios!A90)</f>
        <v/>
      </c>
      <c r="G413">
        <f>IF(Criterios!B90="","",90)</f>
        <v/>
      </c>
    </row>
    <row r="414">
      <c r="A414">
        <f>IF(Criterios!B90="","",Criterios!B90)</f>
        <v/>
      </c>
      <c r="B414">
        <f>IF(Criterios!B90="","",Criterios!D90/100)</f>
        <v/>
      </c>
      <c r="C414">
        <f>IF(Criterios!B90="","",'Bueno')</f>
        <v/>
      </c>
      <c r="D414">
        <f>IF(Criterios!B90="","",Criterios!G90)</f>
        <v/>
      </c>
      <c r="E414">
        <f>IF(Criterios!B90="","",50)</f>
        <v/>
      </c>
      <c r="F414">
        <f>IF(Criterios!B90="","",Criterios!A90)</f>
        <v/>
      </c>
      <c r="G414">
        <f>IF(Criterios!B90="","",90)</f>
        <v/>
      </c>
    </row>
    <row r="415">
      <c r="A415">
        <f>IF(Criterios!B90="","",Criterios!B90)</f>
        <v/>
      </c>
      <c r="B415">
        <f>IF(Criterios!B90="","",Criterios!D90/100)</f>
        <v/>
      </c>
      <c r="C415">
        <f>IF(Criterios!B90="","",'Satisfactorio')</f>
        <v/>
      </c>
      <c r="D415">
        <f>IF(Criterios!B90="","",Criterios!H90)</f>
        <v/>
      </c>
      <c r="E415">
        <f>IF(Criterios!B90="","",75)</f>
        <v/>
      </c>
      <c r="F415">
        <f>IF(Criterios!B90="","",Criterios!A90)</f>
        <v/>
      </c>
      <c r="G415">
        <f>IF(Criterios!B90="","",90)</f>
        <v/>
      </c>
    </row>
    <row r="416">
      <c r="A416">
        <f>IF(Criterios!B90="","",Criterios!B90)</f>
        <v/>
      </c>
      <c r="B416">
        <f>IF(Criterios!B90="","",Criterios!D90/100)</f>
        <v/>
      </c>
      <c r="C416">
        <f>IF(Criterios!B90="","",'Excelente')</f>
        <v/>
      </c>
      <c r="D416">
        <f>IF(Criterios!B90="","",Criterios!I90)</f>
        <v/>
      </c>
      <c r="E416">
        <f>IF(Criterios!B90="","",100)</f>
        <v/>
      </c>
      <c r="F416">
        <f>IF(Criterios!B90="","",Criterios!A90)</f>
        <v/>
      </c>
      <c r="G416">
        <f>IF(Criterios!B90="","",90)</f>
        <v/>
      </c>
    </row>
    <row r="417">
      <c r="A417">
        <f>IF(Criterios!B91="","",Criterios!B91)</f>
        <v/>
      </c>
      <c r="B417">
        <f>IF(Criterios!B91="","",Criterios!D91/100)</f>
        <v/>
      </c>
      <c r="C417">
        <f>IF(Criterios!B91="","",'Insatisfactorio')</f>
        <v/>
      </c>
      <c r="D417">
        <f>IF(Criterios!B91="","",Criterios!E91)</f>
        <v/>
      </c>
      <c r="E417">
        <f>IF(Criterios!B91="","",0)</f>
        <v/>
      </c>
      <c r="F417">
        <f>IF(Criterios!B91="","",Criterios!A91)</f>
        <v/>
      </c>
      <c r="G417">
        <f>IF(Criterios!B91="","",91)</f>
        <v/>
      </c>
    </row>
    <row r="418">
      <c r="A418">
        <f>IF(Criterios!B91="","",Criterios!B91)</f>
        <v/>
      </c>
      <c r="B418">
        <f>IF(Criterios!B91="","",Criterios!D91/100)</f>
        <v/>
      </c>
      <c r="C418">
        <f>IF(Criterios!B91="","",'Necesitas_Mejorar')</f>
        <v/>
      </c>
      <c r="D418">
        <f>IF(Criterios!B91="","",Criterios!F91)</f>
        <v/>
      </c>
      <c r="E418">
        <f>IF(Criterios!B91="","",25)</f>
        <v/>
      </c>
      <c r="F418">
        <f>IF(Criterios!B91="","",Criterios!A91)</f>
        <v/>
      </c>
      <c r="G418">
        <f>IF(Criterios!B91="","",91)</f>
        <v/>
      </c>
    </row>
    <row r="419">
      <c r="A419">
        <f>IF(Criterios!B91="","",Criterios!B91)</f>
        <v/>
      </c>
      <c r="B419">
        <f>IF(Criterios!B91="","",Criterios!D91/100)</f>
        <v/>
      </c>
      <c r="C419">
        <f>IF(Criterios!B91="","",'Bueno')</f>
        <v/>
      </c>
      <c r="D419">
        <f>IF(Criterios!B91="","",Criterios!G91)</f>
        <v/>
      </c>
      <c r="E419">
        <f>IF(Criterios!B91="","",50)</f>
        <v/>
      </c>
      <c r="F419">
        <f>IF(Criterios!B91="","",Criterios!A91)</f>
        <v/>
      </c>
      <c r="G419">
        <f>IF(Criterios!B91="","",91)</f>
        <v/>
      </c>
    </row>
    <row r="420">
      <c r="A420">
        <f>IF(Criterios!B91="","",Criterios!B91)</f>
        <v/>
      </c>
      <c r="B420">
        <f>IF(Criterios!B91="","",Criterios!D91/100)</f>
        <v/>
      </c>
      <c r="C420">
        <f>IF(Criterios!B91="","",'Satisfactorio')</f>
        <v/>
      </c>
      <c r="D420">
        <f>IF(Criterios!B91="","",Criterios!H91)</f>
        <v/>
      </c>
      <c r="E420">
        <f>IF(Criterios!B91="","",75)</f>
        <v/>
      </c>
      <c r="F420">
        <f>IF(Criterios!B91="","",Criterios!A91)</f>
        <v/>
      </c>
      <c r="G420">
        <f>IF(Criterios!B91="","",91)</f>
        <v/>
      </c>
    </row>
    <row r="421">
      <c r="A421">
        <f>IF(Criterios!B91="","",Criterios!B91)</f>
        <v/>
      </c>
      <c r="B421">
        <f>IF(Criterios!B91="","",Criterios!D91/100)</f>
        <v/>
      </c>
      <c r="C421">
        <f>IF(Criterios!B91="","",'Excelente')</f>
        <v/>
      </c>
      <c r="D421">
        <f>IF(Criterios!B91="","",Criterios!I91)</f>
        <v/>
      </c>
      <c r="E421">
        <f>IF(Criterios!B91="","",100)</f>
        <v/>
      </c>
      <c r="F421">
        <f>IF(Criterios!B91="","",Criterios!A91)</f>
        <v/>
      </c>
      <c r="G421">
        <f>IF(Criterios!B91="","",91)</f>
        <v/>
      </c>
    </row>
    <row r="422">
      <c r="A422">
        <f>IF(Criterios!B92="","",Criterios!B92)</f>
        <v/>
      </c>
      <c r="B422">
        <f>IF(Criterios!B92="","",Criterios!D92/100)</f>
        <v/>
      </c>
      <c r="C422">
        <f>IF(Criterios!B92="","",'Insatisfactorio')</f>
        <v/>
      </c>
      <c r="D422">
        <f>IF(Criterios!B92="","",Criterios!E92)</f>
        <v/>
      </c>
      <c r="E422">
        <f>IF(Criterios!B92="","",0)</f>
        <v/>
      </c>
      <c r="F422">
        <f>IF(Criterios!B92="","",Criterios!A92)</f>
        <v/>
      </c>
      <c r="G422">
        <f>IF(Criterios!B92="","",92)</f>
        <v/>
      </c>
    </row>
    <row r="423">
      <c r="A423">
        <f>IF(Criterios!B92="","",Criterios!B92)</f>
        <v/>
      </c>
      <c r="B423">
        <f>IF(Criterios!B92="","",Criterios!D92/100)</f>
        <v/>
      </c>
      <c r="C423">
        <f>IF(Criterios!B92="","",'Necesitas_Mejorar')</f>
        <v/>
      </c>
      <c r="D423">
        <f>IF(Criterios!B92="","",Criterios!F92)</f>
        <v/>
      </c>
      <c r="E423">
        <f>IF(Criterios!B92="","",25)</f>
        <v/>
      </c>
      <c r="F423">
        <f>IF(Criterios!B92="","",Criterios!A92)</f>
        <v/>
      </c>
      <c r="G423">
        <f>IF(Criterios!B92="","",92)</f>
        <v/>
      </c>
    </row>
    <row r="424">
      <c r="A424">
        <f>IF(Criterios!B92="","",Criterios!B92)</f>
        <v/>
      </c>
      <c r="B424">
        <f>IF(Criterios!B92="","",Criterios!D92/100)</f>
        <v/>
      </c>
      <c r="C424">
        <f>IF(Criterios!B92="","",'Bueno')</f>
        <v/>
      </c>
      <c r="D424">
        <f>IF(Criterios!B92="","",Criterios!G92)</f>
        <v/>
      </c>
      <c r="E424">
        <f>IF(Criterios!B92="","",50)</f>
        <v/>
      </c>
      <c r="F424">
        <f>IF(Criterios!B92="","",Criterios!A92)</f>
        <v/>
      </c>
      <c r="G424">
        <f>IF(Criterios!B92="","",92)</f>
        <v/>
      </c>
    </row>
    <row r="425">
      <c r="A425">
        <f>IF(Criterios!B92="","",Criterios!B92)</f>
        <v/>
      </c>
      <c r="B425">
        <f>IF(Criterios!B92="","",Criterios!D92/100)</f>
        <v/>
      </c>
      <c r="C425">
        <f>IF(Criterios!B92="","",'Satisfactorio')</f>
        <v/>
      </c>
      <c r="D425">
        <f>IF(Criterios!B92="","",Criterios!H92)</f>
        <v/>
      </c>
      <c r="E425">
        <f>IF(Criterios!B92="","",75)</f>
        <v/>
      </c>
      <c r="F425">
        <f>IF(Criterios!B92="","",Criterios!A92)</f>
        <v/>
      </c>
      <c r="G425">
        <f>IF(Criterios!B92="","",92)</f>
        <v/>
      </c>
    </row>
    <row r="426">
      <c r="A426">
        <f>IF(Criterios!B92="","",Criterios!B92)</f>
        <v/>
      </c>
      <c r="B426">
        <f>IF(Criterios!B92="","",Criterios!D92/100)</f>
        <v/>
      </c>
      <c r="C426">
        <f>IF(Criterios!B92="","",'Excelente')</f>
        <v/>
      </c>
      <c r="D426">
        <f>IF(Criterios!B92="","",Criterios!I92)</f>
        <v/>
      </c>
      <c r="E426">
        <f>IF(Criterios!B92="","",100)</f>
        <v/>
      </c>
      <c r="F426">
        <f>IF(Criterios!B92="","",Criterios!A92)</f>
        <v/>
      </c>
      <c r="G426">
        <f>IF(Criterios!B92="","",92)</f>
        <v/>
      </c>
    </row>
    <row r="427">
      <c r="A427">
        <f>IF(Criterios!B93="","",Criterios!B93)</f>
        <v/>
      </c>
      <c r="B427">
        <f>IF(Criterios!B93="","",Criterios!D93/100)</f>
        <v/>
      </c>
      <c r="C427">
        <f>IF(Criterios!B93="","",'Insatisfactorio')</f>
        <v/>
      </c>
      <c r="D427">
        <f>IF(Criterios!B93="","",Criterios!E93)</f>
        <v/>
      </c>
      <c r="E427">
        <f>IF(Criterios!B93="","",0)</f>
        <v/>
      </c>
      <c r="F427">
        <f>IF(Criterios!B93="","",Criterios!A93)</f>
        <v/>
      </c>
      <c r="G427">
        <f>IF(Criterios!B93="","",93)</f>
        <v/>
      </c>
    </row>
    <row r="428">
      <c r="A428">
        <f>IF(Criterios!B93="","",Criterios!B93)</f>
        <v/>
      </c>
      <c r="B428">
        <f>IF(Criterios!B93="","",Criterios!D93/100)</f>
        <v/>
      </c>
      <c r="C428">
        <f>IF(Criterios!B93="","",'Necesitas_Mejorar')</f>
        <v/>
      </c>
      <c r="D428">
        <f>IF(Criterios!B93="","",Criterios!F93)</f>
        <v/>
      </c>
      <c r="E428">
        <f>IF(Criterios!B93="","",25)</f>
        <v/>
      </c>
      <c r="F428">
        <f>IF(Criterios!B93="","",Criterios!A93)</f>
        <v/>
      </c>
      <c r="G428">
        <f>IF(Criterios!B93="","",93)</f>
        <v/>
      </c>
    </row>
    <row r="429">
      <c r="A429">
        <f>IF(Criterios!B93="","",Criterios!B93)</f>
        <v/>
      </c>
      <c r="B429">
        <f>IF(Criterios!B93="","",Criterios!D93/100)</f>
        <v/>
      </c>
      <c r="C429">
        <f>IF(Criterios!B93="","",'Bueno')</f>
        <v/>
      </c>
      <c r="D429">
        <f>IF(Criterios!B93="","",Criterios!G93)</f>
        <v/>
      </c>
      <c r="E429">
        <f>IF(Criterios!B93="","",50)</f>
        <v/>
      </c>
      <c r="F429">
        <f>IF(Criterios!B93="","",Criterios!A93)</f>
        <v/>
      </c>
      <c r="G429">
        <f>IF(Criterios!B93="","",93)</f>
        <v/>
      </c>
    </row>
    <row r="430">
      <c r="A430">
        <f>IF(Criterios!B93="","",Criterios!B93)</f>
        <v/>
      </c>
      <c r="B430">
        <f>IF(Criterios!B93="","",Criterios!D93/100)</f>
        <v/>
      </c>
      <c r="C430">
        <f>IF(Criterios!B93="","",'Satisfactorio')</f>
        <v/>
      </c>
      <c r="D430">
        <f>IF(Criterios!B93="","",Criterios!H93)</f>
        <v/>
      </c>
      <c r="E430">
        <f>IF(Criterios!B93="","",75)</f>
        <v/>
      </c>
      <c r="F430">
        <f>IF(Criterios!B93="","",Criterios!A93)</f>
        <v/>
      </c>
      <c r="G430">
        <f>IF(Criterios!B93="","",93)</f>
        <v/>
      </c>
    </row>
    <row r="431">
      <c r="A431">
        <f>IF(Criterios!B93="","",Criterios!B93)</f>
        <v/>
      </c>
      <c r="B431">
        <f>IF(Criterios!B93="","",Criterios!D93/100)</f>
        <v/>
      </c>
      <c r="C431">
        <f>IF(Criterios!B93="","",'Excelente')</f>
        <v/>
      </c>
      <c r="D431">
        <f>IF(Criterios!B93="","",Criterios!I93)</f>
        <v/>
      </c>
      <c r="E431">
        <f>IF(Criterios!B93="","",100)</f>
        <v/>
      </c>
      <c r="F431">
        <f>IF(Criterios!B93="","",Criterios!A93)</f>
        <v/>
      </c>
      <c r="G431">
        <f>IF(Criterios!B93="","",93)</f>
        <v/>
      </c>
    </row>
    <row r="432">
      <c r="A432">
        <f>IF(Criterios!B94="","",Criterios!B94)</f>
        <v/>
      </c>
      <c r="B432">
        <f>IF(Criterios!B94="","",Criterios!D94/100)</f>
        <v/>
      </c>
      <c r="C432">
        <f>IF(Criterios!B94="","",'Insatisfactorio')</f>
        <v/>
      </c>
      <c r="D432">
        <f>IF(Criterios!B94="","",Criterios!E94)</f>
        <v/>
      </c>
      <c r="E432">
        <f>IF(Criterios!B94="","",0)</f>
        <v/>
      </c>
      <c r="F432">
        <f>IF(Criterios!B94="","",Criterios!A94)</f>
        <v/>
      </c>
      <c r="G432">
        <f>IF(Criterios!B94="","",94)</f>
        <v/>
      </c>
    </row>
    <row r="433">
      <c r="A433">
        <f>IF(Criterios!B94="","",Criterios!B94)</f>
        <v/>
      </c>
      <c r="B433">
        <f>IF(Criterios!B94="","",Criterios!D94/100)</f>
        <v/>
      </c>
      <c r="C433">
        <f>IF(Criterios!B94="","",'Necesitas_Mejorar')</f>
        <v/>
      </c>
      <c r="D433">
        <f>IF(Criterios!B94="","",Criterios!F94)</f>
        <v/>
      </c>
      <c r="E433">
        <f>IF(Criterios!B94="","",25)</f>
        <v/>
      </c>
      <c r="F433">
        <f>IF(Criterios!B94="","",Criterios!A94)</f>
        <v/>
      </c>
      <c r="G433">
        <f>IF(Criterios!B94="","",94)</f>
        <v/>
      </c>
    </row>
    <row r="434">
      <c r="A434">
        <f>IF(Criterios!B94="","",Criterios!B94)</f>
        <v/>
      </c>
      <c r="B434">
        <f>IF(Criterios!B94="","",Criterios!D94/100)</f>
        <v/>
      </c>
      <c r="C434">
        <f>IF(Criterios!B94="","",'Bueno')</f>
        <v/>
      </c>
      <c r="D434">
        <f>IF(Criterios!B94="","",Criterios!G94)</f>
        <v/>
      </c>
      <c r="E434">
        <f>IF(Criterios!B94="","",50)</f>
        <v/>
      </c>
      <c r="F434">
        <f>IF(Criterios!B94="","",Criterios!A94)</f>
        <v/>
      </c>
      <c r="G434">
        <f>IF(Criterios!B94="","",94)</f>
        <v/>
      </c>
    </row>
    <row r="435">
      <c r="A435">
        <f>IF(Criterios!B94="","",Criterios!B94)</f>
        <v/>
      </c>
      <c r="B435">
        <f>IF(Criterios!B94="","",Criterios!D94/100)</f>
        <v/>
      </c>
      <c r="C435">
        <f>IF(Criterios!B94="","",'Satisfactorio')</f>
        <v/>
      </c>
      <c r="D435">
        <f>IF(Criterios!B94="","",Criterios!H94)</f>
        <v/>
      </c>
      <c r="E435">
        <f>IF(Criterios!B94="","",75)</f>
        <v/>
      </c>
      <c r="F435">
        <f>IF(Criterios!B94="","",Criterios!A94)</f>
        <v/>
      </c>
      <c r="G435">
        <f>IF(Criterios!B94="","",94)</f>
        <v/>
      </c>
    </row>
    <row r="436">
      <c r="A436">
        <f>IF(Criterios!B94="","",Criterios!B94)</f>
        <v/>
      </c>
      <c r="B436">
        <f>IF(Criterios!B94="","",Criterios!D94/100)</f>
        <v/>
      </c>
      <c r="C436">
        <f>IF(Criterios!B94="","",'Excelente')</f>
        <v/>
      </c>
      <c r="D436">
        <f>IF(Criterios!B94="","",Criterios!I94)</f>
        <v/>
      </c>
      <c r="E436">
        <f>IF(Criterios!B94="","",100)</f>
        <v/>
      </c>
      <c r="F436">
        <f>IF(Criterios!B94="","",Criterios!A94)</f>
        <v/>
      </c>
      <c r="G436">
        <f>IF(Criterios!B94="","",94)</f>
        <v/>
      </c>
    </row>
    <row r="437">
      <c r="A437">
        <f>IF(Criterios!B95="","",Criterios!B95)</f>
        <v/>
      </c>
      <c r="B437">
        <f>IF(Criterios!B95="","",Criterios!D95/100)</f>
        <v/>
      </c>
      <c r="C437">
        <f>IF(Criterios!B95="","",'Insatisfactorio')</f>
        <v/>
      </c>
      <c r="D437">
        <f>IF(Criterios!B95="","",Criterios!E95)</f>
        <v/>
      </c>
      <c r="E437">
        <f>IF(Criterios!B95="","",0)</f>
        <v/>
      </c>
      <c r="F437">
        <f>IF(Criterios!B95="","",Criterios!A95)</f>
        <v/>
      </c>
      <c r="G437">
        <f>IF(Criterios!B95="","",95)</f>
        <v/>
      </c>
    </row>
    <row r="438">
      <c r="A438">
        <f>IF(Criterios!B95="","",Criterios!B95)</f>
        <v/>
      </c>
      <c r="B438">
        <f>IF(Criterios!B95="","",Criterios!D95/100)</f>
        <v/>
      </c>
      <c r="C438">
        <f>IF(Criterios!B95="","",'Necesitas_Mejorar')</f>
        <v/>
      </c>
      <c r="D438">
        <f>IF(Criterios!B95="","",Criterios!F95)</f>
        <v/>
      </c>
      <c r="E438">
        <f>IF(Criterios!B95="","",25)</f>
        <v/>
      </c>
      <c r="F438">
        <f>IF(Criterios!B95="","",Criterios!A95)</f>
        <v/>
      </c>
      <c r="G438">
        <f>IF(Criterios!B95="","",95)</f>
        <v/>
      </c>
    </row>
    <row r="439">
      <c r="A439">
        <f>IF(Criterios!B95="","",Criterios!B95)</f>
        <v/>
      </c>
      <c r="B439">
        <f>IF(Criterios!B95="","",Criterios!D95/100)</f>
        <v/>
      </c>
      <c r="C439">
        <f>IF(Criterios!B95="","",'Bueno')</f>
        <v/>
      </c>
      <c r="D439">
        <f>IF(Criterios!B95="","",Criterios!G95)</f>
        <v/>
      </c>
      <c r="E439">
        <f>IF(Criterios!B95="","",50)</f>
        <v/>
      </c>
      <c r="F439">
        <f>IF(Criterios!B95="","",Criterios!A95)</f>
        <v/>
      </c>
      <c r="G439">
        <f>IF(Criterios!B95="","",95)</f>
        <v/>
      </c>
    </row>
    <row r="440">
      <c r="A440">
        <f>IF(Criterios!B95="","",Criterios!B95)</f>
        <v/>
      </c>
      <c r="B440">
        <f>IF(Criterios!B95="","",Criterios!D95/100)</f>
        <v/>
      </c>
      <c r="C440">
        <f>IF(Criterios!B95="","",'Satisfactorio')</f>
        <v/>
      </c>
      <c r="D440">
        <f>IF(Criterios!B95="","",Criterios!H95)</f>
        <v/>
      </c>
      <c r="E440">
        <f>IF(Criterios!B95="","",75)</f>
        <v/>
      </c>
      <c r="F440">
        <f>IF(Criterios!B95="","",Criterios!A95)</f>
        <v/>
      </c>
      <c r="G440">
        <f>IF(Criterios!B95="","",95)</f>
        <v/>
      </c>
    </row>
    <row r="441">
      <c r="A441">
        <f>IF(Criterios!B95="","",Criterios!B95)</f>
        <v/>
      </c>
      <c r="B441">
        <f>IF(Criterios!B95="","",Criterios!D95/100)</f>
        <v/>
      </c>
      <c r="C441">
        <f>IF(Criterios!B95="","",'Excelente')</f>
        <v/>
      </c>
      <c r="D441">
        <f>IF(Criterios!B95="","",Criterios!I95)</f>
        <v/>
      </c>
      <c r="E441">
        <f>IF(Criterios!B95="","",100)</f>
        <v/>
      </c>
      <c r="F441">
        <f>IF(Criterios!B95="","",Criterios!A95)</f>
        <v/>
      </c>
      <c r="G441">
        <f>IF(Criterios!B95="","",95)</f>
        <v/>
      </c>
    </row>
    <row r="442">
      <c r="A442">
        <f>IF(Criterios!B96="","",Criterios!B96)</f>
        <v/>
      </c>
      <c r="B442">
        <f>IF(Criterios!B96="","",Criterios!D96/100)</f>
        <v/>
      </c>
      <c r="C442">
        <f>IF(Criterios!B96="","",'Insatisfactorio')</f>
        <v/>
      </c>
      <c r="D442">
        <f>IF(Criterios!B96="","",Criterios!E96)</f>
        <v/>
      </c>
      <c r="E442">
        <f>IF(Criterios!B96="","",0)</f>
        <v/>
      </c>
      <c r="F442">
        <f>IF(Criterios!B96="","",Criterios!A96)</f>
        <v/>
      </c>
      <c r="G442">
        <f>IF(Criterios!B96="","",96)</f>
        <v/>
      </c>
    </row>
    <row r="443">
      <c r="A443">
        <f>IF(Criterios!B96="","",Criterios!B96)</f>
        <v/>
      </c>
      <c r="B443">
        <f>IF(Criterios!B96="","",Criterios!D96/100)</f>
        <v/>
      </c>
      <c r="C443">
        <f>IF(Criterios!B96="","",'Necesitas_Mejorar')</f>
        <v/>
      </c>
      <c r="D443">
        <f>IF(Criterios!B96="","",Criterios!F96)</f>
        <v/>
      </c>
      <c r="E443">
        <f>IF(Criterios!B96="","",25)</f>
        <v/>
      </c>
      <c r="F443">
        <f>IF(Criterios!B96="","",Criterios!A96)</f>
        <v/>
      </c>
      <c r="G443">
        <f>IF(Criterios!B96="","",96)</f>
        <v/>
      </c>
    </row>
    <row r="444">
      <c r="A444">
        <f>IF(Criterios!B96="","",Criterios!B96)</f>
        <v/>
      </c>
      <c r="B444">
        <f>IF(Criterios!B96="","",Criterios!D96/100)</f>
        <v/>
      </c>
      <c r="C444">
        <f>IF(Criterios!B96="","",'Bueno')</f>
        <v/>
      </c>
      <c r="D444">
        <f>IF(Criterios!B96="","",Criterios!G96)</f>
        <v/>
      </c>
      <c r="E444">
        <f>IF(Criterios!B96="","",50)</f>
        <v/>
      </c>
      <c r="F444">
        <f>IF(Criterios!B96="","",Criterios!A96)</f>
        <v/>
      </c>
      <c r="G444">
        <f>IF(Criterios!B96="","",96)</f>
        <v/>
      </c>
    </row>
    <row r="445">
      <c r="A445">
        <f>IF(Criterios!B96="","",Criterios!B96)</f>
        <v/>
      </c>
      <c r="B445">
        <f>IF(Criterios!B96="","",Criterios!D96/100)</f>
        <v/>
      </c>
      <c r="C445">
        <f>IF(Criterios!B96="","",'Satisfactorio')</f>
        <v/>
      </c>
      <c r="D445">
        <f>IF(Criterios!B96="","",Criterios!H96)</f>
        <v/>
      </c>
      <c r="E445">
        <f>IF(Criterios!B96="","",75)</f>
        <v/>
      </c>
      <c r="F445">
        <f>IF(Criterios!B96="","",Criterios!A96)</f>
        <v/>
      </c>
      <c r="G445">
        <f>IF(Criterios!B96="","",96)</f>
        <v/>
      </c>
    </row>
    <row r="446">
      <c r="A446">
        <f>IF(Criterios!B96="","",Criterios!B96)</f>
        <v/>
      </c>
      <c r="B446">
        <f>IF(Criterios!B96="","",Criterios!D96/100)</f>
        <v/>
      </c>
      <c r="C446">
        <f>IF(Criterios!B96="","",'Excelente')</f>
        <v/>
      </c>
      <c r="D446">
        <f>IF(Criterios!B96="","",Criterios!I96)</f>
        <v/>
      </c>
      <c r="E446">
        <f>IF(Criterios!B96="","",100)</f>
        <v/>
      </c>
      <c r="F446">
        <f>IF(Criterios!B96="","",Criterios!A96)</f>
        <v/>
      </c>
      <c r="G446">
        <f>IF(Criterios!B96="","",96)</f>
        <v/>
      </c>
    </row>
    <row r="447">
      <c r="A447">
        <f>IF(Criterios!B97="","",Criterios!B97)</f>
        <v/>
      </c>
      <c r="B447">
        <f>IF(Criterios!B97="","",Criterios!D97/100)</f>
        <v/>
      </c>
      <c r="C447">
        <f>IF(Criterios!B97="","",'Insatisfactorio')</f>
        <v/>
      </c>
      <c r="D447">
        <f>IF(Criterios!B97="","",Criterios!E97)</f>
        <v/>
      </c>
      <c r="E447">
        <f>IF(Criterios!B97="","",0)</f>
        <v/>
      </c>
      <c r="F447">
        <f>IF(Criterios!B97="","",Criterios!A97)</f>
        <v/>
      </c>
      <c r="G447">
        <f>IF(Criterios!B97="","",97)</f>
        <v/>
      </c>
    </row>
    <row r="448">
      <c r="A448">
        <f>IF(Criterios!B97="","",Criterios!B97)</f>
        <v/>
      </c>
      <c r="B448">
        <f>IF(Criterios!B97="","",Criterios!D97/100)</f>
        <v/>
      </c>
      <c r="C448">
        <f>IF(Criterios!B97="","",'Necesitas_Mejorar')</f>
        <v/>
      </c>
      <c r="D448">
        <f>IF(Criterios!B97="","",Criterios!F97)</f>
        <v/>
      </c>
      <c r="E448">
        <f>IF(Criterios!B97="","",25)</f>
        <v/>
      </c>
      <c r="F448">
        <f>IF(Criterios!B97="","",Criterios!A97)</f>
        <v/>
      </c>
      <c r="G448">
        <f>IF(Criterios!B97="","",97)</f>
        <v/>
      </c>
    </row>
    <row r="449">
      <c r="A449">
        <f>IF(Criterios!B97="","",Criterios!B97)</f>
        <v/>
      </c>
      <c r="B449">
        <f>IF(Criterios!B97="","",Criterios!D97/100)</f>
        <v/>
      </c>
      <c r="C449">
        <f>IF(Criterios!B97="","",'Bueno')</f>
        <v/>
      </c>
      <c r="D449">
        <f>IF(Criterios!B97="","",Criterios!G97)</f>
        <v/>
      </c>
      <c r="E449">
        <f>IF(Criterios!B97="","",50)</f>
        <v/>
      </c>
      <c r="F449">
        <f>IF(Criterios!B97="","",Criterios!A97)</f>
        <v/>
      </c>
      <c r="G449">
        <f>IF(Criterios!B97="","",97)</f>
        <v/>
      </c>
    </row>
    <row r="450">
      <c r="A450">
        <f>IF(Criterios!B97="","",Criterios!B97)</f>
        <v/>
      </c>
      <c r="B450">
        <f>IF(Criterios!B97="","",Criterios!D97/100)</f>
        <v/>
      </c>
      <c r="C450">
        <f>IF(Criterios!B97="","",'Satisfactorio')</f>
        <v/>
      </c>
      <c r="D450">
        <f>IF(Criterios!B97="","",Criterios!H97)</f>
        <v/>
      </c>
      <c r="E450">
        <f>IF(Criterios!B97="","",75)</f>
        <v/>
      </c>
      <c r="F450">
        <f>IF(Criterios!B97="","",Criterios!A97)</f>
        <v/>
      </c>
      <c r="G450">
        <f>IF(Criterios!B97="","",97)</f>
        <v/>
      </c>
    </row>
    <row r="451">
      <c r="A451">
        <f>IF(Criterios!B97="","",Criterios!B97)</f>
        <v/>
      </c>
      <c r="B451">
        <f>IF(Criterios!B97="","",Criterios!D97/100)</f>
        <v/>
      </c>
      <c r="C451">
        <f>IF(Criterios!B97="","",'Excelente')</f>
        <v/>
      </c>
      <c r="D451">
        <f>IF(Criterios!B97="","",Criterios!I97)</f>
        <v/>
      </c>
      <c r="E451">
        <f>IF(Criterios!B97="","",100)</f>
        <v/>
      </c>
      <c r="F451">
        <f>IF(Criterios!B97="","",Criterios!A97)</f>
        <v/>
      </c>
      <c r="G451">
        <f>IF(Criterios!B97="","",97)</f>
        <v/>
      </c>
    </row>
    <row r="452">
      <c r="A452">
        <f>IF(Criterios!B98="","",Criterios!B98)</f>
        <v/>
      </c>
      <c r="B452">
        <f>IF(Criterios!B98="","",Criterios!D98/100)</f>
        <v/>
      </c>
      <c r="C452">
        <f>IF(Criterios!B98="","",'Insatisfactorio')</f>
        <v/>
      </c>
      <c r="D452">
        <f>IF(Criterios!B98="","",Criterios!E98)</f>
        <v/>
      </c>
      <c r="E452">
        <f>IF(Criterios!B98="","",0)</f>
        <v/>
      </c>
      <c r="F452">
        <f>IF(Criterios!B98="","",Criterios!A98)</f>
        <v/>
      </c>
      <c r="G452">
        <f>IF(Criterios!B98="","",98)</f>
        <v/>
      </c>
    </row>
    <row r="453">
      <c r="A453">
        <f>IF(Criterios!B98="","",Criterios!B98)</f>
        <v/>
      </c>
      <c r="B453">
        <f>IF(Criterios!B98="","",Criterios!D98/100)</f>
        <v/>
      </c>
      <c r="C453">
        <f>IF(Criterios!B98="","",'Necesitas_Mejorar')</f>
        <v/>
      </c>
      <c r="D453">
        <f>IF(Criterios!B98="","",Criterios!F98)</f>
        <v/>
      </c>
      <c r="E453">
        <f>IF(Criterios!B98="","",25)</f>
        <v/>
      </c>
      <c r="F453">
        <f>IF(Criterios!B98="","",Criterios!A98)</f>
        <v/>
      </c>
      <c r="G453">
        <f>IF(Criterios!B98="","",98)</f>
        <v/>
      </c>
    </row>
    <row r="454">
      <c r="A454">
        <f>IF(Criterios!B98="","",Criterios!B98)</f>
        <v/>
      </c>
      <c r="B454">
        <f>IF(Criterios!B98="","",Criterios!D98/100)</f>
        <v/>
      </c>
      <c r="C454">
        <f>IF(Criterios!B98="","",'Bueno')</f>
        <v/>
      </c>
      <c r="D454">
        <f>IF(Criterios!B98="","",Criterios!G98)</f>
        <v/>
      </c>
      <c r="E454">
        <f>IF(Criterios!B98="","",50)</f>
        <v/>
      </c>
      <c r="F454">
        <f>IF(Criterios!B98="","",Criterios!A98)</f>
        <v/>
      </c>
      <c r="G454">
        <f>IF(Criterios!B98="","",98)</f>
        <v/>
      </c>
    </row>
    <row r="455">
      <c r="A455">
        <f>IF(Criterios!B98="","",Criterios!B98)</f>
        <v/>
      </c>
      <c r="B455">
        <f>IF(Criterios!B98="","",Criterios!D98/100)</f>
        <v/>
      </c>
      <c r="C455">
        <f>IF(Criterios!B98="","",'Satisfactorio')</f>
        <v/>
      </c>
      <c r="D455">
        <f>IF(Criterios!B98="","",Criterios!H98)</f>
        <v/>
      </c>
      <c r="E455">
        <f>IF(Criterios!B98="","",75)</f>
        <v/>
      </c>
      <c r="F455">
        <f>IF(Criterios!B98="","",Criterios!A98)</f>
        <v/>
      </c>
      <c r="G455">
        <f>IF(Criterios!B98="","",98)</f>
        <v/>
      </c>
    </row>
    <row r="456">
      <c r="A456">
        <f>IF(Criterios!B98="","",Criterios!B98)</f>
        <v/>
      </c>
      <c r="B456">
        <f>IF(Criterios!B98="","",Criterios!D98/100)</f>
        <v/>
      </c>
      <c r="C456">
        <f>IF(Criterios!B98="","",'Excelente')</f>
        <v/>
      </c>
      <c r="D456">
        <f>IF(Criterios!B98="","",Criterios!I98)</f>
        <v/>
      </c>
      <c r="E456">
        <f>IF(Criterios!B98="","",100)</f>
        <v/>
      </c>
      <c r="F456">
        <f>IF(Criterios!B98="","",Criterios!A98)</f>
        <v/>
      </c>
      <c r="G456">
        <f>IF(Criterios!B98="","",98)</f>
        <v/>
      </c>
    </row>
    <row r="457">
      <c r="A457">
        <f>IF(Criterios!B99="","",Criterios!B99)</f>
        <v/>
      </c>
      <c r="B457">
        <f>IF(Criterios!B99="","",Criterios!D99/100)</f>
        <v/>
      </c>
      <c r="C457">
        <f>IF(Criterios!B99="","",'Insatisfactorio')</f>
        <v/>
      </c>
      <c r="D457">
        <f>IF(Criterios!B99="","",Criterios!E99)</f>
        <v/>
      </c>
      <c r="E457">
        <f>IF(Criterios!B99="","",0)</f>
        <v/>
      </c>
      <c r="F457">
        <f>IF(Criterios!B99="","",Criterios!A99)</f>
        <v/>
      </c>
      <c r="G457">
        <f>IF(Criterios!B99="","",99)</f>
        <v/>
      </c>
    </row>
    <row r="458">
      <c r="A458">
        <f>IF(Criterios!B99="","",Criterios!B99)</f>
        <v/>
      </c>
      <c r="B458">
        <f>IF(Criterios!B99="","",Criterios!D99/100)</f>
        <v/>
      </c>
      <c r="C458">
        <f>IF(Criterios!B99="","",'Necesitas_Mejorar')</f>
        <v/>
      </c>
      <c r="D458">
        <f>IF(Criterios!B99="","",Criterios!F99)</f>
        <v/>
      </c>
      <c r="E458">
        <f>IF(Criterios!B99="","",25)</f>
        <v/>
      </c>
      <c r="F458">
        <f>IF(Criterios!B99="","",Criterios!A99)</f>
        <v/>
      </c>
      <c r="G458">
        <f>IF(Criterios!B99="","",99)</f>
        <v/>
      </c>
    </row>
    <row r="459">
      <c r="A459">
        <f>IF(Criterios!B99="","",Criterios!B99)</f>
        <v/>
      </c>
      <c r="B459">
        <f>IF(Criterios!B99="","",Criterios!D99/100)</f>
        <v/>
      </c>
      <c r="C459">
        <f>IF(Criterios!B99="","",'Bueno')</f>
        <v/>
      </c>
      <c r="D459">
        <f>IF(Criterios!B99="","",Criterios!G99)</f>
        <v/>
      </c>
      <c r="E459">
        <f>IF(Criterios!B99="","",50)</f>
        <v/>
      </c>
      <c r="F459">
        <f>IF(Criterios!B99="","",Criterios!A99)</f>
        <v/>
      </c>
      <c r="G459">
        <f>IF(Criterios!B99="","",99)</f>
        <v/>
      </c>
    </row>
    <row r="460">
      <c r="A460">
        <f>IF(Criterios!B99="","",Criterios!B99)</f>
        <v/>
      </c>
      <c r="B460">
        <f>IF(Criterios!B99="","",Criterios!D99/100)</f>
        <v/>
      </c>
      <c r="C460">
        <f>IF(Criterios!B99="","",'Satisfactorio')</f>
        <v/>
      </c>
      <c r="D460">
        <f>IF(Criterios!B99="","",Criterios!H99)</f>
        <v/>
      </c>
      <c r="E460">
        <f>IF(Criterios!B99="","",75)</f>
        <v/>
      </c>
      <c r="F460">
        <f>IF(Criterios!B99="","",Criterios!A99)</f>
        <v/>
      </c>
      <c r="G460">
        <f>IF(Criterios!B99="","",99)</f>
        <v/>
      </c>
    </row>
    <row r="461">
      <c r="A461">
        <f>IF(Criterios!B99="","",Criterios!B99)</f>
        <v/>
      </c>
      <c r="B461">
        <f>IF(Criterios!B99="","",Criterios!D99/100)</f>
        <v/>
      </c>
      <c r="C461">
        <f>IF(Criterios!B99="","",'Excelente')</f>
        <v/>
      </c>
      <c r="D461">
        <f>IF(Criterios!B99="","",Criterios!I99)</f>
        <v/>
      </c>
      <c r="E461">
        <f>IF(Criterios!B99="","",100)</f>
        <v/>
      </c>
      <c r="F461">
        <f>IF(Criterios!B99="","",Criterios!A99)</f>
        <v/>
      </c>
      <c r="G461">
        <f>IF(Criterios!B99="","",99)</f>
        <v/>
      </c>
    </row>
    <row r="462">
      <c r="A462">
        <f>IF(Criterios!B100="","",Criterios!B100)</f>
        <v/>
      </c>
      <c r="B462">
        <f>IF(Criterios!B100="","",Criterios!D100/100)</f>
        <v/>
      </c>
      <c r="C462">
        <f>IF(Criterios!B100="","",'Insatisfactorio')</f>
        <v/>
      </c>
      <c r="D462">
        <f>IF(Criterios!B100="","",Criterios!E100)</f>
        <v/>
      </c>
      <c r="E462">
        <f>IF(Criterios!B100="","",0)</f>
        <v/>
      </c>
      <c r="F462">
        <f>IF(Criterios!B100="","",Criterios!A100)</f>
        <v/>
      </c>
      <c r="G462">
        <f>IF(Criterios!B100="","",100)</f>
        <v/>
      </c>
    </row>
    <row r="463">
      <c r="A463">
        <f>IF(Criterios!B100="","",Criterios!B100)</f>
        <v/>
      </c>
      <c r="B463">
        <f>IF(Criterios!B100="","",Criterios!D100/100)</f>
        <v/>
      </c>
      <c r="C463">
        <f>IF(Criterios!B100="","",'Necesitas_Mejorar')</f>
        <v/>
      </c>
      <c r="D463">
        <f>IF(Criterios!B100="","",Criterios!F100)</f>
        <v/>
      </c>
      <c r="E463">
        <f>IF(Criterios!B100="","",25)</f>
        <v/>
      </c>
      <c r="F463">
        <f>IF(Criterios!B100="","",Criterios!A100)</f>
        <v/>
      </c>
      <c r="G463">
        <f>IF(Criterios!B100="","",100)</f>
        <v/>
      </c>
    </row>
    <row r="464">
      <c r="A464">
        <f>IF(Criterios!B100="","",Criterios!B100)</f>
        <v/>
      </c>
      <c r="B464">
        <f>IF(Criterios!B100="","",Criterios!D100/100)</f>
        <v/>
      </c>
      <c r="C464">
        <f>IF(Criterios!B100="","",'Bueno')</f>
        <v/>
      </c>
      <c r="D464">
        <f>IF(Criterios!B100="","",Criterios!G100)</f>
        <v/>
      </c>
      <c r="E464">
        <f>IF(Criterios!B100="","",50)</f>
        <v/>
      </c>
      <c r="F464">
        <f>IF(Criterios!B100="","",Criterios!A100)</f>
        <v/>
      </c>
      <c r="G464">
        <f>IF(Criterios!B100="","",100)</f>
        <v/>
      </c>
    </row>
    <row r="465">
      <c r="A465">
        <f>IF(Criterios!B100="","",Criterios!B100)</f>
        <v/>
      </c>
      <c r="B465">
        <f>IF(Criterios!B100="","",Criterios!D100/100)</f>
        <v/>
      </c>
      <c r="C465">
        <f>IF(Criterios!B100="","",'Satisfactorio')</f>
        <v/>
      </c>
      <c r="D465">
        <f>IF(Criterios!B100="","",Criterios!H100)</f>
        <v/>
      </c>
      <c r="E465">
        <f>IF(Criterios!B100="","",75)</f>
        <v/>
      </c>
      <c r="F465">
        <f>IF(Criterios!B100="","",Criterios!A100)</f>
        <v/>
      </c>
      <c r="G465">
        <f>IF(Criterios!B100="","",100)</f>
        <v/>
      </c>
    </row>
    <row r="466">
      <c r="A466">
        <f>IF(Criterios!B100="","",Criterios!B100)</f>
        <v/>
      </c>
      <c r="B466">
        <f>IF(Criterios!B100="","",Criterios!D100/100)</f>
        <v/>
      </c>
      <c r="C466">
        <f>IF(Criterios!B100="","",'Excelente')</f>
        <v/>
      </c>
      <c r="D466">
        <f>IF(Criterios!B100="","",Criterios!I100)</f>
        <v/>
      </c>
      <c r="E466">
        <f>IF(Criterios!B100="","",100)</f>
        <v/>
      </c>
      <c r="F466">
        <f>IF(Criterios!B100="","",Criterios!A100)</f>
        <v/>
      </c>
      <c r="G466">
        <f>IF(Criterios!B100="","",100)</f>
        <v/>
      </c>
    </row>
    <row r="467">
      <c r="A467">
        <f>IF(Criterios!B101="","",Criterios!B101)</f>
        <v/>
      </c>
      <c r="B467">
        <f>IF(Criterios!B101="","",Criterios!D101/100)</f>
        <v/>
      </c>
      <c r="C467">
        <f>IF(Criterios!B101="","",'Insatisfactorio')</f>
        <v/>
      </c>
      <c r="D467">
        <f>IF(Criterios!B101="","",Criterios!E101)</f>
        <v/>
      </c>
      <c r="E467">
        <f>IF(Criterios!B101="","",0)</f>
        <v/>
      </c>
      <c r="F467">
        <f>IF(Criterios!B101="","",Criterios!A101)</f>
        <v/>
      </c>
      <c r="G467">
        <f>IF(Criterios!B101="","",101)</f>
        <v/>
      </c>
    </row>
    <row r="468">
      <c r="A468">
        <f>IF(Criterios!B101="","",Criterios!B101)</f>
        <v/>
      </c>
      <c r="B468">
        <f>IF(Criterios!B101="","",Criterios!D101/100)</f>
        <v/>
      </c>
      <c r="C468">
        <f>IF(Criterios!B101="","",'Necesitas_Mejorar')</f>
        <v/>
      </c>
      <c r="D468">
        <f>IF(Criterios!B101="","",Criterios!F101)</f>
        <v/>
      </c>
      <c r="E468">
        <f>IF(Criterios!B101="","",25)</f>
        <v/>
      </c>
      <c r="F468">
        <f>IF(Criterios!B101="","",Criterios!A101)</f>
        <v/>
      </c>
      <c r="G468">
        <f>IF(Criterios!B101="","",101)</f>
        <v/>
      </c>
    </row>
    <row r="469">
      <c r="A469">
        <f>IF(Criterios!B101="","",Criterios!B101)</f>
        <v/>
      </c>
      <c r="B469">
        <f>IF(Criterios!B101="","",Criterios!D101/100)</f>
        <v/>
      </c>
      <c r="C469">
        <f>IF(Criterios!B101="","",'Bueno')</f>
        <v/>
      </c>
      <c r="D469">
        <f>IF(Criterios!B101="","",Criterios!G101)</f>
        <v/>
      </c>
      <c r="E469">
        <f>IF(Criterios!B101="","",50)</f>
        <v/>
      </c>
      <c r="F469">
        <f>IF(Criterios!B101="","",Criterios!A101)</f>
        <v/>
      </c>
      <c r="G469">
        <f>IF(Criterios!B101="","",101)</f>
        <v/>
      </c>
    </row>
    <row r="470">
      <c r="A470">
        <f>IF(Criterios!B101="","",Criterios!B101)</f>
        <v/>
      </c>
      <c r="B470">
        <f>IF(Criterios!B101="","",Criterios!D101/100)</f>
        <v/>
      </c>
      <c r="C470">
        <f>IF(Criterios!B101="","",'Satisfactorio')</f>
        <v/>
      </c>
      <c r="D470">
        <f>IF(Criterios!B101="","",Criterios!H101)</f>
        <v/>
      </c>
      <c r="E470">
        <f>IF(Criterios!B101="","",75)</f>
        <v/>
      </c>
      <c r="F470">
        <f>IF(Criterios!B101="","",Criterios!A101)</f>
        <v/>
      </c>
      <c r="G470">
        <f>IF(Criterios!B101="","",101)</f>
        <v/>
      </c>
    </row>
    <row r="471">
      <c r="A471">
        <f>IF(Criterios!B101="","",Criterios!B101)</f>
        <v/>
      </c>
      <c r="B471">
        <f>IF(Criterios!B101="","",Criterios!D101/100)</f>
        <v/>
      </c>
      <c r="C471">
        <f>IF(Criterios!B101="","",'Excelente')</f>
        <v/>
      </c>
      <c r="D471">
        <f>IF(Criterios!B101="","",Criterios!I101)</f>
        <v/>
      </c>
      <c r="E471">
        <f>IF(Criterios!B101="","",100)</f>
        <v/>
      </c>
      <c r="F471">
        <f>IF(Criterios!B101="","",Criterios!A101)</f>
        <v/>
      </c>
      <c r="G471">
        <f>IF(Criterios!B101="","",101)</f>
        <v/>
      </c>
    </row>
    <row r="472">
      <c r="A472">
        <f>IF(Criterios!B102="","",Criterios!B102)</f>
        <v/>
      </c>
      <c r="B472">
        <f>IF(Criterios!B102="","",Criterios!D102/100)</f>
        <v/>
      </c>
      <c r="C472">
        <f>IF(Criterios!B102="","",'Insatisfactorio')</f>
        <v/>
      </c>
      <c r="D472">
        <f>IF(Criterios!B102="","",Criterios!E102)</f>
        <v/>
      </c>
      <c r="E472">
        <f>IF(Criterios!B102="","",0)</f>
        <v/>
      </c>
      <c r="F472">
        <f>IF(Criterios!B102="","",Criterios!A102)</f>
        <v/>
      </c>
      <c r="G472">
        <f>IF(Criterios!B102="","",102)</f>
        <v/>
      </c>
    </row>
    <row r="473">
      <c r="A473">
        <f>IF(Criterios!B102="","",Criterios!B102)</f>
        <v/>
      </c>
      <c r="B473">
        <f>IF(Criterios!B102="","",Criterios!D102/100)</f>
        <v/>
      </c>
      <c r="C473">
        <f>IF(Criterios!B102="","",'Necesitas_Mejorar')</f>
        <v/>
      </c>
      <c r="D473">
        <f>IF(Criterios!B102="","",Criterios!F102)</f>
        <v/>
      </c>
      <c r="E473">
        <f>IF(Criterios!B102="","",25)</f>
        <v/>
      </c>
      <c r="F473">
        <f>IF(Criterios!B102="","",Criterios!A102)</f>
        <v/>
      </c>
      <c r="G473">
        <f>IF(Criterios!B102="","",102)</f>
        <v/>
      </c>
    </row>
    <row r="474">
      <c r="A474">
        <f>IF(Criterios!B102="","",Criterios!B102)</f>
        <v/>
      </c>
      <c r="B474">
        <f>IF(Criterios!B102="","",Criterios!D102/100)</f>
        <v/>
      </c>
      <c r="C474">
        <f>IF(Criterios!B102="","",'Bueno')</f>
        <v/>
      </c>
      <c r="D474">
        <f>IF(Criterios!B102="","",Criterios!G102)</f>
        <v/>
      </c>
      <c r="E474">
        <f>IF(Criterios!B102="","",50)</f>
        <v/>
      </c>
      <c r="F474">
        <f>IF(Criterios!B102="","",Criterios!A102)</f>
        <v/>
      </c>
      <c r="G474">
        <f>IF(Criterios!B102="","",102)</f>
        <v/>
      </c>
    </row>
    <row r="475">
      <c r="A475">
        <f>IF(Criterios!B102="","",Criterios!B102)</f>
        <v/>
      </c>
      <c r="B475">
        <f>IF(Criterios!B102="","",Criterios!D102/100)</f>
        <v/>
      </c>
      <c r="C475">
        <f>IF(Criterios!B102="","",'Satisfactorio')</f>
        <v/>
      </c>
      <c r="D475">
        <f>IF(Criterios!B102="","",Criterios!H102)</f>
        <v/>
      </c>
      <c r="E475">
        <f>IF(Criterios!B102="","",75)</f>
        <v/>
      </c>
      <c r="F475">
        <f>IF(Criterios!B102="","",Criterios!A102)</f>
        <v/>
      </c>
      <c r="G475">
        <f>IF(Criterios!B102="","",102)</f>
        <v/>
      </c>
    </row>
    <row r="476">
      <c r="A476">
        <f>IF(Criterios!B102="","",Criterios!B102)</f>
        <v/>
      </c>
      <c r="B476">
        <f>IF(Criterios!B102="","",Criterios!D102/100)</f>
        <v/>
      </c>
      <c r="C476">
        <f>IF(Criterios!B102="","",'Excelente')</f>
        <v/>
      </c>
      <c r="D476">
        <f>IF(Criterios!B102="","",Criterios!I102)</f>
        <v/>
      </c>
      <c r="E476">
        <f>IF(Criterios!B102="","",100)</f>
        <v/>
      </c>
      <c r="F476">
        <f>IF(Criterios!B102="","",Criterios!A102)</f>
        <v/>
      </c>
      <c r="G476">
        <f>IF(Criterios!B102="","",102)</f>
        <v/>
      </c>
    </row>
    <row r="477">
      <c r="A477">
        <f>IF(Criterios!B103="","",Criterios!B103)</f>
        <v/>
      </c>
      <c r="B477">
        <f>IF(Criterios!B103="","",Criterios!D103/100)</f>
        <v/>
      </c>
      <c r="C477">
        <f>IF(Criterios!B103="","",'Insatisfactorio')</f>
        <v/>
      </c>
      <c r="D477">
        <f>IF(Criterios!B103="","",Criterios!E103)</f>
        <v/>
      </c>
      <c r="E477">
        <f>IF(Criterios!B103="","",0)</f>
        <v/>
      </c>
      <c r="F477">
        <f>IF(Criterios!B103="","",Criterios!A103)</f>
        <v/>
      </c>
      <c r="G477">
        <f>IF(Criterios!B103="","",103)</f>
        <v/>
      </c>
    </row>
    <row r="478">
      <c r="A478">
        <f>IF(Criterios!B103="","",Criterios!B103)</f>
        <v/>
      </c>
      <c r="B478">
        <f>IF(Criterios!B103="","",Criterios!D103/100)</f>
        <v/>
      </c>
      <c r="C478">
        <f>IF(Criterios!B103="","",'Necesitas_Mejorar')</f>
        <v/>
      </c>
      <c r="D478">
        <f>IF(Criterios!B103="","",Criterios!F103)</f>
        <v/>
      </c>
      <c r="E478">
        <f>IF(Criterios!B103="","",25)</f>
        <v/>
      </c>
      <c r="F478">
        <f>IF(Criterios!B103="","",Criterios!A103)</f>
        <v/>
      </c>
      <c r="G478">
        <f>IF(Criterios!B103="","",103)</f>
        <v/>
      </c>
    </row>
    <row r="479">
      <c r="A479">
        <f>IF(Criterios!B103="","",Criterios!B103)</f>
        <v/>
      </c>
      <c r="B479">
        <f>IF(Criterios!B103="","",Criterios!D103/100)</f>
        <v/>
      </c>
      <c r="C479">
        <f>IF(Criterios!B103="","",'Bueno')</f>
        <v/>
      </c>
      <c r="D479">
        <f>IF(Criterios!B103="","",Criterios!G103)</f>
        <v/>
      </c>
      <c r="E479">
        <f>IF(Criterios!B103="","",50)</f>
        <v/>
      </c>
      <c r="F479">
        <f>IF(Criterios!B103="","",Criterios!A103)</f>
        <v/>
      </c>
      <c r="G479">
        <f>IF(Criterios!B103="","",103)</f>
        <v/>
      </c>
    </row>
    <row r="480">
      <c r="A480">
        <f>IF(Criterios!B103="","",Criterios!B103)</f>
        <v/>
      </c>
      <c r="B480">
        <f>IF(Criterios!B103="","",Criterios!D103/100)</f>
        <v/>
      </c>
      <c r="C480">
        <f>IF(Criterios!B103="","",'Satisfactorio')</f>
        <v/>
      </c>
      <c r="D480">
        <f>IF(Criterios!B103="","",Criterios!H103)</f>
        <v/>
      </c>
      <c r="E480">
        <f>IF(Criterios!B103="","",75)</f>
        <v/>
      </c>
      <c r="F480">
        <f>IF(Criterios!B103="","",Criterios!A103)</f>
        <v/>
      </c>
      <c r="G480">
        <f>IF(Criterios!B103="","",103)</f>
        <v/>
      </c>
    </row>
    <row r="481">
      <c r="A481">
        <f>IF(Criterios!B103="","",Criterios!B103)</f>
        <v/>
      </c>
      <c r="B481">
        <f>IF(Criterios!B103="","",Criterios!D103/100)</f>
        <v/>
      </c>
      <c r="C481">
        <f>IF(Criterios!B103="","",'Excelente')</f>
        <v/>
      </c>
      <c r="D481">
        <f>IF(Criterios!B103="","",Criterios!I103)</f>
        <v/>
      </c>
      <c r="E481">
        <f>IF(Criterios!B103="","",100)</f>
        <v/>
      </c>
      <c r="F481">
        <f>IF(Criterios!B103="","",Criterios!A103)</f>
        <v/>
      </c>
      <c r="G481">
        <f>IF(Criterios!B103="","",103)</f>
        <v/>
      </c>
    </row>
    <row r="482">
      <c r="A482">
        <f>IF(Criterios!B104="","",Criterios!B104)</f>
        <v/>
      </c>
      <c r="B482">
        <f>IF(Criterios!B104="","",Criterios!D104/100)</f>
        <v/>
      </c>
      <c r="C482">
        <f>IF(Criterios!B104="","",'Insatisfactorio')</f>
        <v/>
      </c>
      <c r="D482">
        <f>IF(Criterios!B104="","",Criterios!E104)</f>
        <v/>
      </c>
      <c r="E482">
        <f>IF(Criterios!B104="","",0)</f>
        <v/>
      </c>
      <c r="F482">
        <f>IF(Criterios!B104="","",Criterios!A104)</f>
        <v/>
      </c>
      <c r="G482">
        <f>IF(Criterios!B104="","",104)</f>
        <v/>
      </c>
    </row>
    <row r="483">
      <c r="A483">
        <f>IF(Criterios!B104="","",Criterios!B104)</f>
        <v/>
      </c>
      <c r="B483">
        <f>IF(Criterios!B104="","",Criterios!D104/100)</f>
        <v/>
      </c>
      <c r="C483">
        <f>IF(Criterios!B104="","",'Necesitas_Mejorar')</f>
        <v/>
      </c>
      <c r="D483">
        <f>IF(Criterios!B104="","",Criterios!F104)</f>
        <v/>
      </c>
      <c r="E483">
        <f>IF(Criterios!B104="","",25)</f>
        <v/>
      </c>
      <c r="F483">
        <f>IF(Criterios!B104="","",Criterios!A104)</f>
        <v/>
      </c>
      <c r="G483">
        <f>IF(Criterios!B104="","",104)</f>
        <v/>
      </c>
    </row>
    <row r="484">
      <c r="A484">
        <f>IF(Criterios!B104="","",Criterios!B104)</f>
        <v/>
      </c>
      <c r="B484">
        <f>IF(Criterios!B104="","",Criterios!D104/100)</f>
        <v/>
      </c>
      <c r="C484">
        <f>IF(Criterios!B104="","",'Bueno')</f>
        <v/>
      </c>
      <c r="D484">
        <f>IF(Criterios!B104="","",Criterios!G104)</f>
        <v/>
      </c>
      <c r="E484">
        <f>IF(Criterios!B104="","",50)</f>
        <v/>
      </c>
      <c r="F484">
        <f>IF(Criterios!B104="","",Criterios!A104)</f>
        <v/>
      </c>
      <c r="G484">
        <f>IF(Criterios!B104="","",104)</f>
        <v/>
      </c>
    </row>
    <row r="485">
      <c r="A485">
        <f>IF(Criterios!B104="","",Criterios!B104)</f>
        <v/>
      </c>
      <c r="B485">
        <f>IF(Criterios!B104="","",Criterios!D104/100)</f>
        <v/>
      </c>
      <c r="C485">
        <f>IF(Criterios!B104="","",'Satisfactorio')</f>
        <v/>
      </c>
      <c r="D485">
        <f>IF(Criterios!B104="","",Criterios!H104)</f>
        <v/>
      </c>
      <c r="E485">
        <f>IF(Criterios!B104="","",75)</f>
        <v/>
      </c>
      <c r="F485">
        <f>IF(Criterios!B104="","",Criterios!A104)</f>
        <v/>
      </c>
      <c r="G485">
        <f>IF(Criterios!B104="","",104)</f>
        <v/>
      </c>
    </row>
    <row r="486">
      <c r="A486">
        <f>IF(Criterios!B104="","",Criterios!B104)</f>
        <v/>
      </c>
      <c r="B486">
        <f>IF(Criterios!B104="","",Criterios!D104/100)</f>
        <v/>
      </c>
      <c r="C486">
        <f>IF(Criterios!B104="","",'Excelente')</f>
        <v/>
      </c>
      <c r="D486">
        <f>IF(Criterios!B104="","",Criterios!I104)</f>
        <v/>
      </c>
      <c r="E486">
        <f>IF(Criterios!B104="","",100)</f>
        <v/>
      </c>
      <c r="F486">
        <f>IF(Criterios!B104="","",Criterios!A104)</f>
        <v/>
      </c>
      <c r="G486">
        <f>IF(Criterios!B104="","",104)</f>
        <v/>
      </c>
    </row>
    <row r="487">
      <c r="A487">
        <f>IF(Criterios!B105="","",Criterios!B105)</f>
        <v/>
      </c>
      <c r="B487">
        <f>IF(Criterios!B105="","",Criterios!D105/100)</f>
        <v/>
      </c>
      <c r="C487">
        <f>IF(Criterios!B105="","",'Insatisfactorio')</f>
        <v/>
      </c>
      <c r="D487">
        <f>IF(Criterios!B105="","",Criterios!E105)</f>
        <v/>
      </c>
      <c r="E487">
        <f>IF(Criterios!B105="","",0)</f>
        <v/>
      </c>
      <c r="F487">
        <f>IF(Criterios!B105="","",Criterios!A105)</f>
        <v/>
      </c>
      <c r="G487">
        <f>IF(Criterios!B105="","",105)</f>
        <v/>
      </c>
    </row>
    <row r="488">
      <c r="A488">
        <f>IF(Criterios!B105="","",Criterios!B105)</f>
        <v/>
      </c>
      <c r="B488">
        <f>IF(Criterios!B105="","",Criterios!D105/100)</f>
        <v/>
      </c>
      <c r="C488">
        <f>IF(Criterios!B105="","",'Necesitas_Mejorar')</f>
        <v/>
      </c>
      <c r="D488">
        <f>IF(Criterios!B105="","",Criterios!F105)</f>
        <v/>
      </c>
      <c r="E488">
        <f>IF(Criterios!B105="","",25)</f>
        <v/>
      </c>
      <c r="F488">
        <f>IF(Criterios!B105="","",Criterios!A105)</f>
        <v/>
      </c>
      <c r="G488">
        <f>IF(Criterios!B105="","",105)</f>
        <v/>
      </c>
    </row>
    <row r="489">
      <c r="A489">
        <f>IF(Criterios!B105="","",Criterios!B105)</f>
        <v/>
      </c>
      <c r="B489">
        <f>IF(Criterios!B105="","",Criterios!D105/100)</f>
        <v/>
      </c>
      <c r="C489">
        <f>IF(Criterios!B105="","",'Bueno')</f>
        <v/>
      </c>
      <c r="D489">
        <f>IF(Criterios!B105="","",Criterios!G105)</f>
        <v/>
      </c>
      <c r="E489">
        <f>IF(Criterios!B105="","",50)</f>
        <v/>
      </c>
      <c r="F489">
        <f>IF(Criterios!B105="","",Criterios!A105)</f>
        <v/>
      </c>
      <c r="G489">
        <f>IF(Criterios!B105="","",105)</f>
        <v/>
      </c>
    </row>
    <row r="490">
      <c r="A490">
        <f>IF(Criterios!B105="","",Criterios!B105)</f>
        <v/>
      </c>
      <c r="B490">
        <f>IF(Criterios!B105="","",Criterios!D105/100)</f>
        <v/>
      </c>
      <c r="C490">
        <f>IF(Criterios!B105="","",'Satisfactorio')</f>
        <v/>
      </c>
      <c r="D490">
        <f>IF(Criterios!B105="","",Criterios!H105)</f>
        <v/>
      </c>
      <c r="E490">
        <f>IF(Criterios!B105="","",75)</f>
        <v/>
      </c>
      <c r="F490">
        <f>IF(Criterios!B105="","",Criterios!A105)</f>
        <v/>
      </c>
      <c r="G490">
        <f>IF(Criterios!B105="","",105)</f>
        <v/>
      </c>
    </row>
    <row r="491">
      <c r="A491">
        <f>IF(Criterios!B105="","",Criterios!B105)</f>
        <v/>
      </c>
      <c r="B491">
        <f>IF(Criterios!B105="","",Criterios!D105/100)</f>
        <v/>
      </c>
      <c r="C491">
        <f>IF(Criterios!B105="","",'Excelente')</f>
        <v/>
      </c>
      <c r="D491">
        <f>IF(Criterios!B105="","",Criterios!I105)</f>
        <v/>
      </c>
      <c r="E491">
        <f>IF(Criterios!B105="","",100)</f>
        <v/>
      </c>
      <c r="F491">
        <f>IF(Criterios!B105="","",Criterios!A105)</f>
        <v/>
      </c>
      <c r="G491">
        <f>IF(Criterios!B105="","",105)</f>
        <v/>
      </c>
    </row>
    <row r="492">
      <c r="A492">
        <f>IF(Criterios!B106="","",Criterios!B106)</f>
        <v/>
      </c>
      <c r="B492">
        <f>IF(Criterios!B106="","",Criterios!D106/100)</f>
        <v/>
      </c>
      <c r="C492">
        <f>IF(Criterios!B106="","",'Insatisfactorio')</f>
        <v/>
      </c>
      <c r="D492">
        <f>IF(Criterios!B106="","",Criterios!E106)</f>
        <v/>
      </c>
      <c r="E492">
        <f>IF(Criterios!B106="","",0)</f>
        <v/>
      </c>
      <c r="F492">
        <f>IF(Criterios!B106="","",Criterios!A106)</f>
        <v/>
      </c>
      <c r="G492">
        <f>IF(Criterios!B106="","",106)</f>
        <v/>
      </c>
    </row>
    <row r="493">
      <c r="A493">
        <f>IF(Criterios!B106="","",Criterios!B106)</f>
        <v/>
      </c>
      <c r="B493">
        <f>IF(Criterios!B106="","",Criterios!D106/100)</f>
        <v/>
      </c>
      <c r="C493">
        <f>IF(Criterios!B106="","",'Necesitas_Mejorar')</f>
        <v/>
      </c>
      <c r="D493">
        <f>IF(Criterios!B106="","",Criterios!F106)</f>
        <v/>
      </c>
      <c r="E493">
        <f>IF(Criterios!B106="","",25)</f>
        <v/>
      </c>
      <c r="F493">
        <f>IF(Criterios!B106="","",Criterios!A106)</f>
        <v/>
      </c>
      <c r="G493">
        <f>IF(Criterios!B106="","",106)</f>
        <v/>
      </c>
    </row>
    <row r="494">
      <c r="A494">
        <f>IF(Criterios!B106="","",Criterios!B106)</f>
        <v/>
      </c>
      <c r="B494">
        <f>IF(Criterios!B106="","",Criterios!D106/100)</f>
        <v/>
      </c>
      <c r="C494">
        <f>IF(Criterios!B106="","",'Bueno')</f>
        <v/>
      </c>
      <c r="D494">
        <f>IF(Criterios!B106="","",Criterios!G106)</f>
        <v/>
      </c>
      <c r="E494">
        <f>IF(Criterios!B106="","",50)</f>
        <v/>
      </c>
      <c r="F494">
        <f>IF(Criterios!B106="","",Criterios!A106)</f>
        <v/>
      </c>
      <c r="G494">
        <f>IF(Criterios!B106="","",106)</f>
        <v/>
      </c>
    </row>
    <row r="495">
      <c r="A495">
        <f>IF(Criterios!B106="","",Criterios!B106)</f>
        <v/>
      </c>
      <c r="B495">
        <f>IF(Criterios!B106="","",Criterios!D106/100)</f>
        <v/>
      </c>
      <c r="C495">
        <f>IF(Criterios!B106="","",'Satisfactorio')</f>
        <v/>
      </c>
      <c r="D495">
        <f>IF(Criterios!B106="","",Criterios!H106)</f>
        <v/>
      </c>
      <c r="E495">
        <f>IF(Criterios!B106="","",75)</f>
        <v/>
      </c>
      <c r="F495">
        <f>IF(Criterios!B106="","",Criterios!A106)</f>
        <v/>
      </c>
      <c r="G495">
        <f>IF(Criterios!B106="","",106)</f>
        <v/>
      </c>
    </row>
    <row r="496">
      <c r="A496">
        <f>IF(Criterios!B106="","",Criterios!B106)</f>
        <v/>
      </c>
      <c r="B496">
        <f>IF(Criterios!B106="","",Criterios!D106/100)</f>
        <v/>
      </c>
      <c r="C496">
        <f>IF(Criterios!B106="","",'Excelente')</f>
        <v/>
      </c>
      <c r="D496">
        <f>IF(Criterios!B106="","",Criterios!I106)</f>
        <v/>
      </c>
      <c r="E496">
        <f>IF(Criterios!B106="","",100)</f>
        <v/>
      </c>
      <c r="F496">
        <f>IF(Criterios!B106="","",Criterios!A106)</f>
        <v/>
      </c>
      <c r="G496">
        <f>IF(Criterios!B106="","",106)</f>
        <v/>
      </c>
    </row>
    <row r="497">
      <c r="A497">
        <f>IF(Criterios!B107="","",Criterios!B107)</f>
        <v/>
      </c>
      <c r="B497">
        <f>IF(Criterios!B107="","",Criterios!D107/100)</f>
        <v/>
      </c>
      <c r="C497">
        <f>IF(Criterios!B107="","",'Insatisfactorio')</f>
        <v/>
      </c>
      <c r="D497">
        <f>IF(Criterios!B107="","",Criterios!E107)</f>
        <v/>
      </c>
      <c r="E497">
        <f>IF(Criterios!B107="","",0)</f>
        <v/>
      </c>
      <c r="F497">
        <f>IF(Criterios!B107="","",Criterios!A107)</f>
        <v/>
      </c>
      <c r="G497">
        <f>IF(Criterios!B107="","",107)</f>
        <v/>
      </c>
    </row>
    <row r="498">
      <c r="A498">
        <f>IF(Criterios!B107="","",Criterios!B107)</f>
        <v/>
      </c>
      <c r="B498">
        <f>IF(Criterios!B107="","",Criterios!D107/100)</f>
        <v/>
      </c>
      <c r="C498">
        <f>IF(Criterios!B107="","",'Necesitas_Mejorar')</f>
        <v/>
      </c>
      <c r="D498">
        <f>IF(Criterios!B107="","",Criterios!F107)</f>
        <v/>
      </c>
      <c r="E498">
        <f>IF(Criterios!B107="","",25)</f>
        <v/>
      </c>
      <c r="F498">
        <f>IF(Criterios!B107="","",Criterios!A107)</f>
        <v/>
      </c>
      <c r="G498">
        <f>IF(Criterios!B107="","",107)</f>
        <v/>
      </c>
    </row>
    <row r="499">
      <c r="A499">
        <f>IF(Criterios!B107="","",Criterios!B107)</f>
        <v/>
      </c>
      <c r="B499">
        <f>IF(Criterios!B107="","",Criterios!D107/100)</f>
        <v/>
      </c>
      <c r="C499">
        <f>IF(Criterios!B107="","",'Bueno')</f>
        <v/>
      </c>
      <c r="D499">
        <f>IF(Criterios!B107="","",Criterios!G107)</f>
        <v/>
      </c>
      <c r="E499">
        <f>IF(Criterios!B107="","",50)</f>
        <v/>
      </c>
      <c r="F499">
        <f>IF(Criterios!B107="","",Criterios!A107)</f>
        <v/>
      </c>
      <c r="G499">
        <f>IF(Criterios!B107="","",107)</f>
        <v/>
      </c>
    </row>
    <row r="500">
      <c r="A500">
        <f>IF(Criterios!B107="","",Criterios!B107)</f>
        <v/>
      </c>
      <c r="B500">
        <f>IF(Criterios!B107="","",Criterios!D107/100)</f>
        <v/>
      </c>
      <c r="C500">
        <f>IF(Criterios!B107="","",'Satisfactorio')</f>
        <v/>
      </c>
      <c r="D500">
        <f>IF(Criterios!B107="","",Criterios!H107)</f>
        <v/>
      </c>
      <c r="E500">
        <f>IF(Criterios!B107="","",75)</f>
        <v/>
      </c>
      <c r="F500">
        <f>IF(Criterios!B107="","",Criterios!A107)</f>
        <v/>
      </c>
      <c r="G500">
        <f>IF(Criterios!B107="","",107)</f>
        <v/>
      </c>
    </row>
    <row r="501">
      <c r="A501">
        <f>IF(Criterios!B107="","",Criterios!B107)</f>
        <v/>
      </c>
      <c r="B501">
        <f>IF(Criterios!B107="","",Criterios!D107/100)</f>
        <v/>
      </c>
      <c r="C501">
        <f>IF(Criterios!B107="","",'Excelente')</f>
        <v/>
      </c>
      <c r="D501">
        <f>IF(Criterios!B107="","",Criterios!I107)</f>
        <v/>
      </c>
      <c r="E501">
        <f>IF(Criterios!B107="","",100)</f>
        <v/>
      </c>
      <c r="F501">
        <f>IF(Criterios!B107="","",Criterios!A107)</f>
        <v/>
      </c>
      <c r="G501">
        <f>IF(Criterios!B107="","",107)</f>
        <v/>
      </c>
    </row>
    <row r="502">
      <c r="A502">
        <f>IF(Criterios!B108="","",Criterios!B108)</f>
        <v/>
      </c>
      <c r="B502">
        <f>IF(Criterios!B108="","",Criterios!D108/100)</f>
        <v/>
      </c>
      <c r="C502">
        <f>IF(Criterios!B108="","",'Insatisfactorio')</f>
        <v/>
      </c>
      <c r="D502">
        <f>IF(Criterios!B108="","",Criterios!E108)</f>
        <v/>
      </c>
      <c r="E502">
        <f>IF(Criterios!B108="","",0)</f>
        <v/>
      </c>
      <c r="F502">
        <f>IF(Criterios!B108="","",Criterios!A108)</f>
        <v/>
      </c>
      <c r="G502">
        <f>IF(Criterios!B108="","",108)</f>
        <v/>
      </c>
    </row>
    <row r="503">
      <c r="A503">
        <f>IF(Criterios!B108="","",Criterios!B108)</f>
        <v/>
      </c>
      <c r="B503">
        <f>IF(Criterios!B108="","",Criterios!D108/100)</f>
        <v/>
      </c>
      <c r="C503">
        <f>IF(Criterios!B108="","",'Necesitas_Mejorar')</f>
        <v/>
      </c>
      <c r="D503">
        <f>IF(Criterios!B108="","",Criterios!F108)</f>
        <v/>
      </c>
      <c r="E503">
        <f>IF(Criterios!B108="","",25)</f>
        <v/>
      </c>
      <c r="F503">
        <f>IF(Criterios!B108="","",Criterios!A108)</f>
        <v/>
      </c>
      <c r="G503">
        <f>IF(Criterios!B108="","",108)</f>
        <v/>
      </c>
    </row>
    <row r="504">
      <c r="A504">
        <f>IF(Criterios!B108="","",Criterios!B108)</f>
        <v/>
      </c>
      <c r="B504">
        <f>IF(Criterios!B108="","",Criterios!D108/100)</f>
        <v/>
      </c>
      <c r="C504">
        <f>IF(Criterios!B108="","",'Bueno')</f>
        <v/>
      </c>
      <c r="D504">
        <f>IF(Criterios!B108="","",Criterios!G108)</f>
        <v/>
      </c>
      <c r="E504">
        <f>IF(Criterios!B108="","",50)</f>
        <v/>
      </c>
      <c r="F504">
        <f>IF(Criterios!B108="","",Criterios!A108)</f>
        <v/>
      </c>
      <c r="G504">
        <f>IF(Criterios!B108="","",108)</f>
        <v/>
      </c>
    </row>
    <row r="505">
      <c r="A505">
        <f>IF(Criterios!B108="","",Criterios!B108)</f>
        <v/>
      </c>
      <c r="B505">
        <f>IF(Criterios!B108="","",Criterios!D108/100)</f>
        <v/>
      </c>
      <c r="C505">
        <f>IF(Criterios!B108="","",'Satisfactorio')</f>
        <v/>
      </c>
      <c r="D505">
        <f>IF(Criterios!B108="","",Criterios!H108)</f>
        <v/>
      </c>
      <c r="E505">
        <f>IF(Criterios!B108="","",75)</f>
        <v/>
      </c>
      <c r="F505">
        <f>IF(Criterios!B108="","",Criterios!A108)</f>
        <v/>
      </c>
      <c r="G505">
        <f>IF(Criterios!B108="","",108)</f>
        <v/>
      </c>
    </row>
    <row r="506">
      <c r="A506">
        <f>IF(Criterios!B108="","",Criterios!B108)</f>
        <v/>
      </c>
      <c r="B506">
        <f>IF(Criterios!B108="","",Criterios!D108/100)</f>
        <v/>
      </c>
      <c r="C506">
        <f>IF(Criterios!B108="","",'Excelente')</f>
        <v/>
      </c>
      <c r="D506">
        <f>IF(Criterios!B108="","",Criterios!I108)</f>
        <v/>
      </c>
      <c r="E506">
        <f>IF(Criterios!B108="","",100)</f>
        <v/>
      </c>
      <c r="F506">
        <f>IF(Criterios!B108="","",Criterios!A108)</f>
        <v/>
      </c>
      <c r="G506">
        <f>IF(Criterios!B108="","",108)</f>
        <v/>
      </c>
    </row>
    <row r="507">
      <c r="A507">
        <f>IF(Criterios!B109="","",Criterios!B109)</f>
        <v/>
      </c>
      <c r="B507">
        <f>IF(Criterios!B109="","",Criterios!D109/100)</f>
        <v/>
      </c>
      <c r="C507">
        <f>IF(Criterios!B109="","",'Insatisfactorio')</f>
        <v/>
      </c>
      <c r="D507">
        <f>IF(Criterios!B109="","",Criterios!E109)</f>
        <v/>
      </c>
      <c r="E507">
        <f>IF(Criterios!B109="","",0)</f>
        <v/>
      </c>
      <c r="F507">
        <f>IF(Criterios!B109="","",Criterios!A109)</f>
        <v/>
      </c>
      <c r="G507">
        <f>IF(Criterios!B109="","",109)</f>
        <v/>
      </c>
    </row>
    <row r="508">
      <c r="A508">
        <f>IF(Criterios!B109="","",Criterios!B109)</f>
        <v/>
      </c>
      <c r="B508">
        <f>IF(Criterios!B109="","",Criterios!D109/100)</f>
        <v/>
      </c>
      <c r="C508">
        <f>IF(Criterios!B109="","",'Necesitas_Mejorar')</f>
        <v/>
      </c>
      <c r="D508">
        <f>IF(Criterios!B109="","",Criterios!F109)</f>
        <v/>
      </c>
      <c r="E508">
        <f>IF(Criterios!B109="","",25)</f>
        <v/>
      </c>
      <c r="F508">
        <f>IF(Criterios!B109="","",Criterios!A109)</f>
        <v/>
      </c>
      <c r="G508">
        <f>IF(Criterios!B109="","",109)</f>
        <v/>
      </c>
    </row>
    <row r="509">
      <c r="A509">
        <f>IF(Criterios!B109="","",Criterios!B109)</f>
        <v/>
      </c>
      <c r="B509">
        <f>IF(Criterios!B109="","",Criterios!D109/100)</f>
        <v/>
      </c>
      <c r="C509">
        <f>IF(Criterios!B109="","",'Bueno')</f>
        <v/>
      </c>
      <c r="D509">
        <f>IF(Criterios!B109="","",Criterios!G109)</f>
        <v/>
      </c>
      <c r="E509">
        <f>IF(Criterios!B109="","",50)</f>
        <v/>
      </c>
      <c r="F509">
        <f>IF(Criterios!B109="","",Criterios!A109)</f>
        <v/>
      </c>
      <c r="G509">
        <f>IF(Criterios!B109="","",109)</f>
        <v/>
      </c>
    </row>
    <row r="510">
      <c r="A510">
        <f>IF(Criterios!B109="","",Criterios!B109)</f>
        <v/>
      </c>
      <c r="B510">
        <f>IF(Criterios!B109="","",Criterios!D109/100)</f>
        <v/>
      </c>
      <c r="C510">
        <f>IF(Criterios!B109="","",'Satisfactorio')</f>
        <v/>
      </c>
      <c r="D510">
        <f>IF(Criterios!B109="","",Criterios!H109)</f>
        <v/>
      </c>
      <c r="E510">
        <f>IF(Criterios!B109="","",75)</f>
        <v/>
      </c>
      <c r="F510">
        <f>IF(Criterios!B109="","",Criterios!A109)</f>
        <v/>
      </c>
      <c r="G510">
        <f>IF(Criterios!B109="","",109)</f>
        <v/>
      </c>
    </row>
    <row r="511">
      <c r="A511">
        <f>IF(Criterios!B109="","",Criterios!B109)</f>
        <v/>
      </c>
      <c r="B511">
        <f>IF(Criterios!B109="","",Criterios!D109/100)</f>
        <v/>
      </c>
      <c r="C511">
        <f>IF(Criterios!B109="","",'Excelente')</f>
        <v/>
      </c>
      <c r="D511">
        <f>IF(Criterios!B109="","",Criterios!I109)</f>
        <v/>
      </c>
      <c r="E511">
        <f>IF(Criterios!B109="","",100)</f>
        <v/>
      </c>
      <c r="F511">
        <f>IF(Criterios!B109="","",Criterios!A109)</f>
        <v/>
      </c>
      <c r="G511">
        <f>IF(Criterios!B109="","",109)</f>
        <v/>
      </c>
    </row>
    <row r="512">
      <c r="A512">
        <f>IF(Criterios!B110="","",Criterios!B110)</f>
        <v/>
      </c>
      <c r="B512">
        <f>IF(Criterios!B110="","",Criterios!D110/100)</f>
        <v/>
      </c>
      <c r="C512">
        <f>IF(Criterios!B110="","",'Insatisfactorio')</f>
        <v/>
      </c>
      <c r="D512">
        <f>IF(Criterios!B110="","",Criterios!E110)</f>
        <v/>
      </c>
      <c r="E512">
        <f>IF(Criterios!B110="","",0)</f>
        <v/>
      </c>
      <c r="F512">
        <f>IF(Criterios!B110="","",Criterios!A110)</f>
        <v/>
      </c>
      <c r="G512">
        <f>IF(Criterios!B110="","",110)</f>
        <v/>
      </c>
    </row>
    <row r="513">
      <c r="A513">
        <f>IF(Criterios!B110="","",Criterios!B110)</f>
        <v/>
      </c>
      <c r="B513">
        <f>IF(Criterios!B110="","",Criterios!D110/100)</f>
        <v/>
      </c>
      <c r="C513">
        <f>IF(Criterios!B110="","",'Necesitas_Mejorar')</f>
        <v/>
      </c>
      <c r="D513">
        <f>IF(Criterios!B110="","",Criterios!F110)</f>
        <v/>
      </c>
      <c r="E513">
        <f>IF(Criterios!B110="","",25)</f>
        <v/>
      </c>
      <c r="F513">
        <f>IF(Criterios!B110="","",Criterios!A110)</f>
        <v/>
      </c>
      <c r="G513">
        <f>IF(Criterios!B110="","",110)</f>
        <v/>
      </c>
    </row>
    <row r="514">
      <c r="A514">
        <f>IF(Criterios!B110="","",Criterios!B110)</f>
        <v/>
      </c>
      <c r="B514">
        <f>IF(Criterios!B110="","",Criterios!D110/100)</f>
        <v/>
      </c>
      <c r="C514">
        <f>IF(Criterios!B110="","",'Bueno')</f>
        <v/>
      </c>
      <c r="D514">
        <f>IF(Criterios!B110="","",Criterios!G110)</f>
        <v/>
      </c>
      <c r="E514">
        <f>IF(Criterios!B110="","",50)</f>
        <v/>
      </c>
      <c r="F514">
        <f>IF(Criterios!B110="","",Criterios!A110)</f>
        <v/>
      </c>
      <c r="G514">
        <f>IF(Criterios!B110="","",110)</f>
        <v/>
      </c>
    </row>
    <row r="515">
      <c r="A515">
        <f>IF(Criterios!B110="","",Criterios!B110)</f>
        <v/>
      </c>
      <c r="B515">
        <f>IF(Criterios!B110="","",Criterios!D110/100)</f>
        <v/>
      </c>
      <c r="C515">
        <f>IF(Criterios!B110="","",'Satisfactorio')</f>
        <v/>
      </c>
      <c r="D515">
        <f>IF(Criterios!B110="","",Criterios!H110)</f>
        <v/>
      </c>
      <c r="E515">
        <f>IF(Criterios!B110="","",75)</f>
        <v/>
      </c>
      <c r="F515">
        <f>IF(Criterios!B110="","",Criterios!A110)</f>
        <v/>
      </c>
      <c r="G515">
        <f>IF(Criterios!B110="","",110)</f>
        <v/>
      </c>
    </row>
    <row r="516">
      <c r="A516">
        <f>IF(Criterios!B110="","",Criterios!B110)</f>
        <v/>
      </c>
      <c r="B516">
        <f>IF(Criterios!B110="","",Criterios!D110/100)</f>
        <v/>
      </c>
      <c r="C516">
        <f>IF(Criterios!B110="","",'Excelente')</f>
        <v/>
      </c>
      <c r="D516">
        <f>IF(Criterios!B110="","",Criterios!I110)</f>
        <v/>
      </c>
      <c r="E516">
        <f>IF(Criterios!B110="","",100)</f>
        <v/>
      </c>
      <c r="F516">
        <f>IF(Criterios!B110="","",Criterios!A110)</f>
        <v/>
      </c>
      <c r="G516">
        <f>IF(Criterios!B110="","",110)</f>
        <v/>
      </c>
    </row>
    <row r="517">
      <c r="A517">
        <f>IF(Criterios!B111="","",Criterios!B111)</f>
        <v/>
      </c>
      <c r="B517">
        <f>IF(Criterios!B111="","",Criterios!D111/100)</f>
        <v/>
      </c>
      <c r="C517">
        <f>IF(Criterios!B111="","",'Insatisfactorio')</f>
        <v/>
      </c>
      <c r="D517">
        <f>IF(Criterios!B111="","",Criterios!E111)</f>
        <v/>
      </c>
      <c r="E517">
        <f>IF(Criterios!B111="","",0)</f>
        <v/>
      </c>
      <c r="F517">
        <f>IF(Criterios!B111="","",Criterios!A111)</f>
        <v/>
      </c>
      <c r="G517">
        <f>IF(Criterios!B111="","",111)</f>
        <v/>
      </c>
    </row>
    <row r="518">
      <c r="A518">
        <f>IF(Criterios!B111="","",Criterios!B111)</f>
        <v/>
      </c>
      <c r="B518">
        <f>IF(Criterios!B111="","",Criterios!D111/100)</f>
        <v/>
      </c>
      <c r="C518">
        <f>IF(Criterios!B111="","",'Necesitas_Mejorar')</f>
        <v/>
      </c>
      <c r="D518">
        <f>IF(Criterios!B111="","",Criterios!F111)</f>
        <v/>
      </c>
      <c r="E518">
        <f>IF(Criterios!B111="","",25)</f>
        <v/>
      </c>
      <c r="F518">
        <f>IF(Criterios!B111="","",Criterios!A111)</f>
        <v/>
      </c>
      <c r="G518">
        <f>IF(Criterios!B111="","",111)</f>
        <v/>
      </c>
    </row>
    <row r="519">
      <c r="A519">
        <f>IF(Criterios!B111="","",Criterios!B111)</f>
        <v/>
      </c>
      <c r="B519">
        <f>IF(Criterios!B111="","",Criterios!D111/100)</f>
        <v/>
      </c>
      <c r="C519">
        <f>IF(Criterios!B111="","",'Bueno')</f>
        <v/>
      </c>
      <c r="D519">
        <f>IF(Criterios!B111="","",Criterios!G111)</f>
        <v/>
      </c>
      <c r="E519">
        <f>IF(Criterios!B111="","",50)</f>
        <v/>
      </c>
      <c r="F519">
        <f>IF(Criterios!B111="","",Criterios!A111)</f>
        <v/>
      </c>
      <c r="G519">
        <f>IF(Criterios!B111="","",111)</f>
        <v/>
      </c>
    </row>
    <row r="520">
      <c r="A520">
        <f>IF(Criterios!B111="","",Criterios!B111)</f>
        <v/>
      </c>
      <c r="B520">
        <f>IF(Criterios!B111="","",Criterios!D111/100)</f>
        <v/>
      </c>
      <c r="C520">
        <f>IF(Criterios!B111="","",'Satisfactorio')</f>
        <v/>
      </c>
      <c r="D520">
        <f>IF(Criterios!B111="","",Criterios!H111)</f>
        <v/>
      </c>
      <c r="E520">
        <f>IF(Criterios!B111="","",75)</f>
        <v/>
      </c>
      <c r="F520">
        <f>IF(Criterios!B111="","",Criterios!A111)</f>
        <v/>
      </c>
      <c r="G520">
        <f>IF(Criterios!B111="","",111)</f>
        <v/>
      </c>
    </row>
    <row r="521">
      <c r="A521">
        <f>IF(Criterios!B111="","",Criterios!B111)</f>
        <v/>
      </c>
      <c r="B521">
        <f>IF(Criterios!B111="","",Criterios!D111/100)</f>
        <v/>
      </c>
      <c r="C521">
        <f>IF(Criterios!B111="","",'Excelente')</f>
        <v/>
      </c>
      <c r="D521">
        <f>IF(Criterios!B111="","",Criterios!I111)</f>
        <v/>
      </c>
      <c r="E521">
        <f>IF(Criterios!B111="","",100)</f>
        <v/>
      </c>
      <c r="F521">
        <f>IF(Criterios!B111="","",Criterios!A111)</f>
        <v/>
      </c>
      <c r="G521">
        <f>IF(Criterios!B111="","",111)</f>
        <v/>
      </c>
    </row>
    <row r="522">
      <c r="A522">
        <f>IF(Criterios!B112="","",Criterios!B112)</f>
        <v/>
      </c>
      <c r="B522">
        <f>IF(Criterios!B112="","",Criterios!D112/100)</f>
        <v/>
      </c>
      <c r="C522">
        <f>IF(Criterios!B112="","",'Insatisfactorio')</f>
        <v/>
      </c>
      <c r="D522">
        <f>IF(Criterios!B112="","",Criterios!E112)</f>
        <v/>
      </c>
      <c r="E522">
        <f>IF(Criterios!B112="","",0)</f>
        <v/>
      </c>
      <c r="F522">
        <f>IF(Criterios!B112="","",Criterios!A112)</f>
        <v/>
      </c>
      <c r="G522">
        <f>IF(Criterios!B112="","",112)</f>
        <v/>
      </c>
    </row>
    <row r="523">
      <c r="A523">
        <f>IF(Criterios!B112="","",Criterios!B112)</f>
        <v/>
      </c>
      <c r="B523">
        <f>IF(Criterios!B112="","",Criterios!D112/100)</f>
        <v/>
      </c>
      <c r="C523">
        <f>IF(Criterios!B112="","",'Necesitas_Mejorar')</f>
        <v/>
      </c>
      <c r="D523">
        <f>IF(Criterios!B112="","",Criterios!F112)</f>
        <v/>
      </c>
      <c r="E523">
        <f>IF(Criterios!B112="","",25)</f>
        <v/>
      </c>
      <c r="F523">
        <f>IF(Criterios!B112="","",Criterios!A112)</f>
        <v/>
      </c>
      <c r="G523">
        <f>IF(Criterios!B112="","",112)</f>
        <v/>
      </c>
    </row>
    <row r="524">
      <c r="A524">
        <f>IF(Criterios!B112="","",Criterios!B112)</f>
        <v/>
      </c>
      <c r="B524">
        <f>IF(Criterios!B112="","",Criterios!D112/100)</f>
        <v/>
      </c>
      <c r="C524">
        <f>IF(Criterios!B112="","",'Bueno')</f>
        <v/>
      </c>
      <c r="D524">
        <f>IF(Criterios!B112="","",Criterios!G112)</f>
        <v/>
      </c>
      <c r="E524">
        <f>IF(Criterios!B112="","",50)</f>
        <v/>
      </c>
      <c r="F524">
        <f>IF(Criterios!B112="","",Criterios!A112)</f>
        <v/>
      </c>
      <c r="G524">
        <f>IF(Criterios!B112="","",112)</f>
        <v/>
      </c>
    </row>
    <row r="525">
      <c r="A525">
        <f>IF(Criterios!B112="","",Criterios!B112)</f>
        <v/>
      </c>
      <c r="B525">
        <f>IF(Criterios!B112="","",Criterios!D112/100)</f>
        <v/>
      </c>
      <c r="C525">
        <f>IF(Criterios!B112="","",'Satisfactorio')</f>
        <v/>
      </c>
      <c r="D525">
        <f>IF(Criterios!B112="","",Criterios!H112)</f>
        <v/>
      </c>
      <c r="E525">
        <f>IF(Criterios!B112="","",75)</f>
        <v/>
      </c>
      <c r="F525">
        <f>IF(Criterios!B112="","",Criterios!A112)</f>
        <v/>
      </c>
      <c r="G525">
        <f>IF(Criterios!B112="","",112)</f>
        <v/>
      </c>
    </row>
    <row r="526">
      <c r="A526">
        <f>IF(Criterios!B112="","",Criterios!B112)</f>
        <v/>
      </c>
      <c r="B526">
        <f>IF(Criterios!B112="","",Criterios!D112/100)</f>
        <v/>
      </c>
      <c r="C526">
        <f>IF(Criterios!B112="","",'Excelente')</f>
        <v/>
      </c>
      <c r="D526">
        <f>IF(Criterios!B112="","",Criterios!I112)</f>
        <v/>
      </c>
      <c r="E526">
        <f>IF(Criterios!B112="","",100)</f>
        <v/>
      </c>
      <c r="F526">
        <f>IF(Criterios!B112="","",Criterios!A112)</f>
        <v/>
      </c>
      <c r="G526">
        <f>IF(Criterios!B112="","",112)</f>
        <v/>
      </c>
    </row>
    <row r="527">
      <c r="A527">
        <f>IF(Criterios!B113="","",Criterios!B113)</f>
        <v/>
      </c>
      <c r="B527">
        <f>IF(Criterios!B113="","",Criterios!D113/100)</f>
        <v/>
      </c>
      <c r="C527">
        <f>IF(Criterios!B113="","",'Insatisfactorio')</f>
        <v/>
      </c>
      <c r="D527">
        <f>IF(Criterios!B113="","",Criterios!E113)</f>
        <v/>
      </c>
      <c r="E527">
        <f>IF(Criterios!B113="","",0)</f>
        <v/>
      </c>
      <c r="F527">
        <f>IF(Criterios!B113="","",Criterios!A113)</f>
        <v/>
      </c>
      <c r="G527">
        <f>IF(Criterios!B113="","",113)</f>
        <v/>
      </c>
    </row>
    <row r="528">
      <c r="A528">
        <f>IF(Criterios!B113="","",Criterios!B113)</f>
        <v/>
      </c>
      <c r="B528">
        <f>IF(Criterios!B113="","",Criterios!D113/100)</f>
        <v/>
      </c>
      <c r="C528">
        <f>IF(Criterios!B113="","",'Necesitas_Mejorar')</f>
        <v/>
      </c>
      <c r="D528">
        <f>IF(Criterios!B113="","",Criterios!F113)</f>
        <v/>
      </c>
      <c r="E528">
        <f>IF(Criterios!B113="","",25)</f>
        <v/>
      </c>
      <c r="F528">
        <f>IF(Criterios!B113="","",Criterios!A113)</f>
        <v/>
      </c>
      <c r="G528">
        <f>IF(Criterios!B113="","",113)</f>
        <v/>
      </c>
    </row>
    <row r="529">
      <c r="A529">
        <f>IF(Criterios!B113="","",Criterios!B113)</f>
        <v/>
      </c>
      <c r="B529">
        <f>IF(Criterios!B113="","",Criterios!D113/100)</f>
        <v/>
      </c>
      <c r="C529">
        <f>IF(Criterios!B113="","",'Bueno')</f>
        <v/>
      </c>
      <c r="D529">
        <f>IF(Criterios!B113="","",Criterios!G113)</f>
        <v/>
      </c>
      <c r="E529">
        <f>IF(Criterios!B113="","",50)</f>
        <v/>
      </c>
      <c r="F529">
        <f>IF(Criterios!B113="","",Criterios!A113)</f>
        <v/>
      </c>
      <c r="G529">
        <f>IF(Criterios!B113="","",113)</f>
        <v/>
      </c>
    </row>
    <row r="530">
      <c r="A530">
        <f>IF(Criterios!B113="","",Criterios!B113)</f>
        <v/>
      </c>
      <c r="B530">
        <f>IF(Criterios!B113="","",Criterios!D113/100)</f>
        <v/>
      </c>
      <c r="C530">
        <f>IF(Criterios!B113="","",'Satisfactorio')</f>
        <v/>
      </c>
      <c r="D530">
        <f>IF(Criterios!B113="","",Criterios!H113)</f>
        <v/>
      </c>
      <c r="E530">
        <f>IF(Criterios!B113="","",75)</f>
        <v/>
      </c>
      <c r="F530">
        <f>IF(Criterios!B113="","",Criterios!A113)</f>
        <v/>
      </c>
      <c r="G530">
        <f>IF(Criterios!B113="","",113)</f>
        <v/>
      </c>
    </row>
    <row r="531">
      <c r="A531">
        <f>IF(Criterios!B113="","",Criterios!B113)</f>
        <v/>
      </c>
      <c r="B531">
        <f>IF(Criterios!B113="","",Criterios!D113/100)</f>
        <v/>
      </c>
      <c r="C531">
        <f>IF(Criterios!B113="","",'Excelente')</f>
        <v/>
      </c>
      <c r="D531">
        <f>IF(Criterios!B113="","",Criterios!I113)</f>
        <v/>
      </c>
      <c r="E531">
        <f>IF(Criterios!B113="","",100)</f>
        <v/>
      </c>
      <c r="F531">
        <f>IF(Criterios!B113="","",Criterios!A113)</f>
        <v/>
      </c>
      <c r="G531">
        <f>IF(Criterios!B113="","",113)</f>
        <v/>
      </c>
    </row>
    <row r="532">
      <c r="A532">
        <f>IF(Criterios!B114="","",Criterios!B114)</f>
        <v/>
      </c>
      <c r="B532">
        <f>IF(Criterios!B114="","",Criterios!D114/100)</f>
        <v/>
      </c>
      <c r="C532">
        <f>IF(Criterios!B114="","",'Insatisfactorio')</f>
        <v/>
      </c>
      <c r="D532">
        <f>IF(Criterios!B114="","",Criterios!E114)</f>
        <v/>
      </c>
      <c r="E532">
        <f>IF(Criterios!B114="","",0)</f>
        <v/>
      </c>
      <c r="F532">
        <f>IF(Criterios!B114="","",Criterios!A114)</f>
        <v/>
      </c>
      <c r="G532">
        <f>IF(Criterios!B114="","",114)</f>
        <v/>
      </c>
    </row>
    <row r="533">
      <c r="A533">
        <f>IF(Criterios!B114="","",Criterios!B114)</f>
        <v/>
      </c>
      <c r="B533">
        <f>IF(Criterios!B114="","",Criterios!D114/100)</f>
        <v/>
      </c>
      <c r="C533">
        <f>IF(Criterios!B114="","",'Necesitas_Mejorar')</f>
        <v/>
      </c>
      <c r="D533">
        <f>IF(Criterios!B114="","",Criterios!F114)</f>
        <v/>
      </c>
      <c r="E533">
        <f>IF(Criterios!B114="","",25)</f>
        <v/>
      </c>
      <c r="F533">
        <f>IF(Criterios!B114="","",Criterios!A114)</f>
        <v/>
      </c>
      <c r="G533">
        <f>IF(Criterios!B114="","",114)</f>
        <v/>
      </c>
    </row>
    <row r="534">
      <c r="A534">
        <f>IF(Criterios!B114="","",Criterios!B114)</f>
        <v/>
      </c>
      <c r="B534">
        <f>IF(Criterios!B114="","",Criterios!D114/100)</f>
        <v/>
      </c>
      <c r="C534">
        <f>IF(Criterios!B114="","",'Bueno')</f>
        <v/>
      </c>
      <c r="D534">
        <f>IF(Criterios!B114="","",Criterios!G114)</f>
        <v/>
      </c>
      <c r="E534">
        <f>IF(Criterios!B114="","",50)</f>
        <v/>
      </c>
      <c r="F534">
        <f>IF(Criterios!B114="","",Criterios!A114)</f>
        <v/>
      </c>
      <c r="G534">
        <f>IF(Criterios!B114="","",114)</f>
        <v/>
      </c>
    </row>
    <row r="535">
      <c r="A535">
        <f>IF(Criterios!B114="","",Criterios!B114)</f>
        <v/>
      </c>
      <c r="B535">
        <f>IF(Criterios!B114="","",Criterios!D114/100)</f>
        <v/>
      </c>
      <c r="C535">
        <f>IF(Criterios!B114="","",'Satisfactorio')</f>
        <v/>
      </c>
      <c r="D535">
        <f>IF(Criterios!B114="","",Criterios!H114)</f>
        <v/>
      </c>
      <c r="E535">
        <f>IF(Criterios!B114="","",75)</f>
        <v/>
      </c>
      <c r="F535">
        <f>IF(Criterios!B114="","",Criterios!A114)</f>
        <v/>
      </c>
      <c r="G535">
        <f>IF(Criterios!B114="","",114)</f>
        <v/>
      </c>
    </row>
    <row r="536">
      <c r="A536">
        <f>IF(Criterios!B114="","",Criterios!B114)</f>
        <v/>
      </c>
      <c r="B536">
        <f>IF(Criterios!B114="","",Criterios!D114/100)</f>
        <v/>
      </c>
      <c r="C536">
        <f>IF(Criterios!B114="","",'Excelente')</f>
        <v/>
      </c>
      <c r="D536">
        <f>IF(Criterios!B114="","",Criterios!I114)</f>
        <v/>
      </c>
      <c r="E536">
        <f>IF(Criterios!B114="","",100)</f>
        <v/>
      </c>
      <c r="F536">
        <f>IF(Criterios!B114="","",Criterios!A114)</f>
        <v/>
      </c>
      <c r="G536">
        <f>IF(Criterios!B114="","",114)</f>
        <v/>
      </c>
    </row>
    <row r="537">
      <c r="A537">
        <f>IF(Criterios!B115="","",Criterios!B115)</f>
        <v/>
      </c>
      <c r="B537">
        <f>IF(Criterios!B115="","",Criterios!D115/100)</f>
        <v/>
      </c>
      <c r="C537">
        <f>IF(Criterios!B115="","",'Insatisfactorio')</f>
        <v/>
      </c>
      <c r="D537">
        <f>IF(Criterios!B115="","",Criterios!E115)</f>
        <v/>
      </c>
      <c r="E537">
        <f>IF(Criterios!B115="","",0)</f>
        <v/>
      </c>
      <c r="F537">
        <f>IF(Criterios!B115="","",Criterios!A115)</f>
        <v/>
      </c>
      <c r="G537">
        <f>IF(Criterios!B115="","",115)</f>
        <v/>
      </c>
    </row>
    <row r="538">
      <c r="A538">
        <f>IF(Criterios!B115="","",Criterios!B115)</f>
        <v/>
      </c>
      <c r="B538">
        <f>IF(Criterios!B115="","",Criterios!D115/100)</f>
        <v/>
      </c>
      <c r="C538">
        <f>IF(Criterios!B115="","",'Necesitas_Mejorar')</f>
        <v/>
      </c>
      <c r="D538">
        <f>IF(Criterios!B115="","",Criterios!F115)</f>
        <v/>
      </c>
      <c r="E538">
        <f>IF(Criterios!B115="","",25)</f>
        <v/>
      </c>
      <c r="F538">
        <f>IF(Criterios!B115="","",Criterios!A115)</f>
        <v/>
      </c>
      <c r="G538">
        <f>IF(Criterios!B115="","",115)</f>
        <v/>
      </c>
    </row>
    <row r="539">
      <c r="A539">
        <f>IF(Criterios!B115="","",Criterios!B115)</f>
        <v/>
      </c>
      <c r="B539">
        <f>IF(Criterios!B115="","",Criterios!D115/100)</f>
        <v/>
      </c>
      <c r="C539">
        <f>IF(Criterios!B115="","",'Bueno')</f>
        <v/>
      </c>
      <c r="D539">
        <f>IF(Criterios!B115="","",Criterios!G115)</f>
        <v/>
      </c>
      <c r="E539">
        <f>IF(Criterios!B115="","",50)</f>
        <v/>
      </c>
      <c r="F539">
        <f>IF(Criterios!B115="","",Criterios!A115)</f>
        <v/>
      </c>
      <c r="G539">
        <f>IF(Criterios!B115="","",115)</f>
        <v/>
      </c>
    </row>
    <row r="540">
      <c r="A540">
        <f>IF(Criterios!B115="","",Criterios!B115)</f>
        <v/>
      </c>
      <c r="B540">
        <f>IF(Criterios!B115="","",Criterios!D115/100)</f>
        <v/>
      </c>
      <c r="C540">
        <f>IF(Criterios!B115="","",'Satisfactorio')</f>
        <v/>
      </c>
      <c r="D540">
        <f>IF(Criterios!B115="","",Criterios!H115)</f>
        <v/>
      </c>
      <c r="E540">
        <f>IF(Criterios!B115="","",75)</f>
        <v/>
      </c>
      <c r="F540">
        <f>IF(Criterios!B115="","",Criterios!A115)</f>
        <v/>
      </c>
      <c r="G540">
        <f>IF(Criterios!B115="","",115)</f>
        <v/>
      </c>
    </row>
    <row r="541">
      <c r="A541">
        <f>IF(Criterios!B115="","",Criterios!B115)</f>
        <v/>
      </c>
      <c r="B541">
        <f>IF(Criterios!B115="","",Criterios!D115/100)</f>
        <v/>
      </c>
      <c r="C541">
        <f>IF(Criterios!B115="","",'Excelente')</f>
        <v/>
      </c>
      <c r="D541">
        <f>IF(Criterios!B115="","",Criterios!I115)</f>
        <v/>
      </c>
      <c r="E541">
        <f>IF(Criterios!B115="","",100)</f>
        <v/>
      </c>
      <c r="F541">
        <f>IF(Criterios!B115="","",Criterios!A115)</f>
        <v/>
      </c>
      <c r="G541">
        <f>IF(Criterios!B115="","",115)</f>
        <v/>
      </c>
    </row>
    <row r="542">
      <c r="A542">
        <f>IF(Criterios!B116="","",Criterios!B116)</f>
        <v/>
      </c>
      <c r="B542">
        <f>IF(Criterios!B116="","",Criterios!D116/100)</f>
        <v/>
      </c>
      <c r="C542">
        <f>IF(Criterios!B116="","",'Insatisfactorio')</f>
        <v/>
      </c>
      <c r="D542">
        <f>IF(Criterios!B116="","",Criterios!E116)</f>
        <v/>
      </c>
      <c r="E542">
        <f>IF(Criterios!B116="","",0)</f>
        <v/>
      </c>
      <c r="F542">
        <f>IF(Criterios!B116="","",Criterios!A116)</f>
        <v/>
      </c>
      <c r="G542">
        <f>IF(Criterios!B116="","",116)</f>
        <v/>
      </c>
    </row>
    <row r="543">
      <c r="A543">
        <f>IF(Criterios!B116="","",Criterios!B116)</f>
        <v/>
      </c>
      <c r="B543">
        <f>IF(Criterios!B116="","",Criterios!D116/100)</f>
        <v/>
      </c>
      <c r="C543">
        <f>IF(Criterios!B116="","",'Necesitas_Mejorar')</f>
        <v/>
      </c>
      <c r="D543">
        <f>IF(Criterios!B116="","",Criterios!F116)</f>
        <v/>
      </c>
      <c r="E543">
        <f>IF(Criterios!B116="","",25)</f>
        <v/>
      </c>
      <c r="F543">
        <f>IF(Criterios!B116="","",Criterios!A116)</f>
        <v/>
      </c>
      <c r="G543">
        <f>IF(Criterios!B116="","",116)</f>
        <v/>
      </c>
    </row>
    <row r="544">
      <c r="A544">
        <f>IF(Criterios!B116="","",Criterios!B116)</f>
        <v/>
      </c>
      <c r="B544">
        <f>IF(Criterios!B116="","",Criterios!D116/100)</f>
        <v/>
      </c>
      <c r="C544">
        <f>IF(Criterios!B116="","",'Bueno')</f>
        <v/>
      </c>
      <c r="D544">
        <f>IF(Criterios!B116="","",Criterios!G116)</f>
        <v/>
      </c>
      <c r="E544">
        <f>IF(Criterios!B116="","",50)</f>
        <v/>
      </c>
      <c r="F544">
        <f>IF(Criterios!B116="","",Criterios!A116)</f>
        <v/>
      </c>
      <c r="G544">
        <f>IF(Criterios!B116="","",116)</f>
        <v/>
      </c>
    </row>
    <row r="545">
      <c r="A545">
        <f>IF(Criterios!B116="","",Criterios!B116)</f>
        <v/>
      </c>
      <c r="B545">
        <f>IF(Criterios!B116="","",Criterios!D116/100)</f>
        <v/>
      </c>
      <c r="C545">
        <f>IF(Criterios!B116="","",'Satisfactorio')</f>
        <v/>
      </c>
      <c r="D545">
        <f>IF(Criterios!B116="","",Criterios!H116)</f>
        <v/>
      </c>
      <c r="E545">
        <f>IF(Criterios!B116="","",75)</f>
        <v/>
      </c>
      <c r="F545">
        <f>IF(Criterios!B116="","",Criterios!A116)</f>
        <v/>
      </c>
      <c r="G545">
        <f>IF(Criterios!B116="","",116)</f>
        <v/>
      </c>
    </row>
    <row r="546">
      <c r="A546">
        <f>IF(Criterios!B116="","",Criterios!B116)</f>
        <v/>
      </c>
      <c r="B546">
        <f>IF(Criterios!B116="","",Criterios!D116/100)</f>
        <v/>
      </c>
      <c r="C546">
        <f>IF(Criterios!B116="","",'Excelente')</f>
        <v/>
      </c>
      <c r="D546">
        <f>IF(Criterios!B116="","",Criterios!I116)</f>
        <v/>
      </c>
      <c r="E546">
        <f>IF(Criterios!B116="","",100)</f>
        <v/>
      </c>
      <c r="F546">
        <f>IF(Criterios!B116="","",Criterios!A116)</f>
        <v/>
      </c>
      <c r="G546">
        <f>IF(Criterios!B116="","",116)</f>
        <v/>
      </c>
    </row>
    <row r="547">
      <c r="A547">
        <f>IF(Criterios!B117="","",Criterios!B117)</f>
        <v/>
      </c>
      <c r="B547">
        <f>IF(Criterios!B117="","",Criterios!D117/100)</f>
        <v/>
      </c>
      <c r="C547">
        <f>IF(Criterios!B117="","",'Insatisfactorio')</f>
        <v/>
      </c>
      <c r="D547">
        <f>IF(Criterios!B117="","",Criterios!E117)</f>
        <v/>
      </c>
      <c r="E547">
        <f>IF(Criterios!B117="","",0)</f>
        <v/>
      </c>
      <c r="F547">
        <f>IF(Criterios!B117="","",Criterios!A117)</f>
        <v/>
      </c>
      <c r="G547">
        <f>IF(Criterios!B117="","",117)</f>
        <v/>
      </c>
    </row>
    <row r="548">
      <c r="A548">
        <f>IF(Criterios!B117="","",Criterios!B117)</f>
        <v/>
      </c>
      <c r="B548">
        <f>IF(Criterios!B117="","",Criterios!D117/100)</f>
        <v/>
      </c>
      <c r="C548">
        <f>IF(Criterios!B117="","",'Necesitas_Mejorar')</f>
        <v/>
      </c>
      <c r="D548">
        <f>IF(Criterios!B117="","",Criterios!F117)</f>
        <v/>
      </c>
      <c r="E548">
        <f>IF(Criterios!B117="","",25)</f>
        <v/>
      </c>
      <c r="F548">
        <f>IF(Criterios!B117="","",Criterios!A117)</f>
        <v/>
      </c>
      <c r="G548">
        <f>IF(Criterios!B117="","",117)</f>
        <v/>
      </c>
    </row>
    <row r="549">
      <c r="A549">
        <f>IF(Criterios!B117="","",Criterios!B117)</f>
        <v/>
      </c>
      <c r="B549">
        <f>IF(Criterios!B117="","",Criterios!D117/100)</f>
        <v/>
      </c>
      <c r="C549">
        <f>IF(Criterios!B117="","",'Bueno')</f>
        <v/>
      </c>
      <c r="D549">
        <f>IF(Criterios!B117="","",Criterios!G117)</f>
        <v/>
      </c>
      <c r="E549">
        <f>IF(Criterios!B117="","",50)</f>
        <v/>
      </c>
      <c r="F549">
        <f>IF(Criterios!B117="","",Criterios!A117)</f>
        <v/>
      </c>
      <c r="G549">
        <f>IF(Criterios!B117="","",117)</f>
        <v/>
      </c>
    </row>
    <row r="550">
      <c r="A550">
        <f>IF(Criterios!B117="","",Criterios!B117)</f>
        <v/>
      </c>
      <c r="B550">
        <f>IF(Criterios!B117="","",Criterios!D117/100)</f>
        <v/>
      </c>
      <c r="C550">
        <f>IF(Criterios!B117="","",'Satisfactorio')</f>
        <v/>
      </c>
      <c r="D550">
        <f>IF(Criterios!B117="","",Criterios!H117)</f>
        <v/>
      </c>
      <c r="E550">
        <f>IF(Criterios!B117="","",75)</f>
        <v/>
      </c>
      <c r="F550">
        <f>IF(Criterios!B117="","",Criterios!A117)</f>
        <v/>
      </c>
      <c r="G550">
        <f>IF(Criterios!B117="","",117)</f>
        <v/>
      </c>
    </row>
    <row r="551">
      <c r="A551">
        <f>IF(Criterios!B117="","",Criterios!B117)</f>
        <v/>
      </c>
      <c r="B551">
        <f>IF(Criterios!B117="","",Criterios!D117/100)</f>
        <v/>
      </c>
      <c r="C551">
        <f>IF(Criterios!B117="","",'Excelente')</f>
        <v/>
      </c>
      <c r="D551">
        <f>IF(Criterios!B117="","",Criterios!I117)</f>
        <v/>
      </c>
      <c r="E551">
        <f>IF(Criterios!B117="","",100)</f>
        <v/>
      </c>
      <c r="F551">
        <f>IF(Criterios!B117="","",Criterios!A117)</f>
        <v/>
      </c>
      <c r="G551">
        <f>IF(Criterios!B117="","",117)</f>
        <v/>
      </c>
    </row>
    <row r="552">
      <c r="A552">
        <f>IF(Criterios!B118="","",Criterios!B118)</f>
        <v/>
      </c>
      <c r="B552">
        <f>IF(Criterios!B118="","",Criterios!D118/100)</f>
        <v/>
      </c>
      <c r="C552">
        <f>IF(Criterios!B118="","",'Insatisfactorio')</f>
        <v/>
      </c>
      <c r="D552">
        <f>IF(Criterios!B118="","",Criterios!E118)</f>
        <v/>
      </c>
      <c r="E552">
        <f>IF(Criterios!B118="","",0)</f>
        <v/>
      </c>
      <c r="F552">
        <f>IF(Criterios!B118="","",Criterios!A118)</f>
        <v/>
      </c>
      <c r="G552">
        <f>IF(Criterios!B118="","",118)</f>
        <v/>
      </c>
    </row>
    <row r="553">
      <c r="A553">
        <f>IF(Criterios!B118="","",Criterios!B118)</f>
        <v/>
      </c>
      <c r="B553">
        <f>IF(Criterios!B118="","",Criterios!D118/100)</f>
        <v/>
      </c>
      <c r="C553">
        <f>IF(Criterios!B118="","",'Necesitas_Mejorar')</f>
        <v/>
      </c>
      <c r="D553">
        <f>IF(Criterios!B118="","",Criterios!F118)</f>
        <v/>
      </c>
      <c r="E553">
        <f>IF(Criterios!B118="","",25)</f>
        <v/>
      </c>
      <c r="F553">
        <f>IF(Criterios!B118="","",Criterios!A118)</f>
        <v/>
      </c>
      <c r="G553">
        <f>IF(Criterios!B118="","",118)</f>
        <v/>
      </c>
    </row>
    <row r="554">
      <c r="A554">
        <f>IF(Criterios!B118="","",Criterios!B118)</f>
        <v/>
      </c>
      <c r="B554">
        <f>IF(Criterios!B118="","",Criterios!D118/100)</f>
        <v/>
      </c>
      <c r="C554">
        <f>IF(Criterios!B118="","",'Bueno')</f>
        <v/>
      </c>
      <c r="D554">
        <f>IF(Criterios!B118="","",Criterios!G118)</f>
        <v/>
      </c>
      <c r="E554">
        <f>IF(Criterios!B118="","",50)</f>
        <v/>
      </c>
      <c r="F554">
        <f>IF(Criterios!B118="","",Criterios!A118)</f>
        <v/>
      </c>
      <c r="G554">
        <f>IF(Criterios!B118="","",118)</f>
        <v/>
      </c>
    </row>
    <row r="555">
      <c r="A555">
        <f>IF(Criterios!B118="","",Criterios!B118)</f>
        <v/>
      </c>
      <c r="B555">
        <f>IF(Criterios!B118="","",Criterios!D118/100)</f>
        <v/>
      </c>
      <c r="C555">
        <f>IF(Criterios!B118="","",'Satisfactorio')</f>
        <v/>
      </c>
      <c r="D555">
        <f>IF(Criterios!B118="","",Criterios!H118)</f>
        <v/>
      </c>
      <c r="E555">
        <f>IF(Criterios!B118="","",75)</f>
        <v/>
      </c>
      <c r="F555">
        <f>IF(Criterios!B118="","",Criterios!A118)</f>
        <v/>
      </c>
      <c r="G555">
        <f>IF(Criterios!B118="","",118)</f>
        <v/>
      </c>
    </row>
    <row r="556">
      <c r="A556">
        <f>IF(Criterios!B118="","",Criterios!B118)</f>
        <v/>
      </c>
      <c r="B556">
        <f>IF(Criterios!B118="","",Criterios!D118/100)</f>
        <v/>
      </c>
      <c r="C556">
        <f>IF(Criterios!B118="","",'Excelente')</f>
        <v/>
      </c>
      <c r="D556">
        <f>IF(Criterios!B118="","",Criterios!I118)</f>
        <v/>
      </c>
      <c r="E556">
        <f>IF(Criterios!B118="","",100)</f>
        <v/>
      </c>
      <c r="F556">
        <f>IF(Criterios!B118="","",Criterios!A118)</f>
        <v/>
      </c>
      <c r="G556">
        <f>IF(Criterios!B118="","",118)</f>
        <v/>
      </c>
    </row>
    <row r="557">
      <c r="A557">
        <f>IF(Criterios!B119="","",Criterios!B119)</f>
        <v/>
      </c>
      <c r="B557">
        <f>IF(Criterios!B119="","",Criterios!D119/100)</f>
        <v/>
      </c>
      <c r="C557">
        <f>IF(Criterios!B119="","",'Insatisfactorio')</f>
        <v/>
      </c>
      <c r="D557">
        <f>IF(Criterios!B119="","",Criterios!E119)</f>
        <v/>
      </c>
      <c r="E557">
        <f>IF(Criterios!B119="","",0)</f>
        <v/>
      </c>
      <c r="F557">
        <f>IF(Criterios!B119="","",Criterios!A119)</f>
        <v/>
      </c>
      <c r="G557">
        <f>IF(Criterios!B119="","",119)</f>
        <v/>
      </c>
    </row>
    <row r="558">
      <c r="A558">
        <f>IF(Criterios!B119="","",Criterios!B119)</f>
        <v/>
      </c>
      <c r="B558">
        <f>IF(Criterios!B119="","",Criterios!D119/100)</f>
        <v/>
      </c>
      <c r="C558">
        <f>IF(Criterios!B119="","",'Necesitas_Mejorar')</f>
        <v/>
      </c>
      <c r="D558">
        <f>IF(Criterios!B119="","",Criterios!F119)</f>
        <v/>
      </c>
      <c r="E558">
        <f>IF(Criterios!B119="","",25)</f>
        <v/>
      </c>
      <c r="F558">
        <f>IF(Criterios!B119="","",Criterios!A119)</f>
        <v/>
      </c>
      <c r="G558">
        <f>IF(Criterios!B119="","",119)</f>
        <v/>
      </c>
    </row>
    <row r="559">
      <c r="A559">
        <f>IF(Criterios!B119="","",Criterios!B119)</f>
        <v/>
      </c>
      <c r="B559">
        <f>IF(Criterios!B119="","",Criterios!D119/100)</f>
        <v/>
      </c>
      <c r="C559">
        <f>IF(Criterios!B119="","",'Bueno')</f>
        <v/>
      </c>
      <c r="D559">
        <f>IF(Criterios!B119="","",Criterios!G119)</f>
        <v/>
      </c>
      <c r="E559">
        <f>IF(Criterios!B119="","",50)</f>
        <v/>
      </c>
      <c r="F559">
        <f>IF(Criterios!B119="","",Criterios!A119)</f>
        <v/>
      </c>
      <c r="G559">
        <f>IF(Criterios!B119="","",119)</f>
        <v/>
      </c>
    </row>
    <row r="560">
      <c r="A560">
        <f>IF(Criterios!B119="","",Criterios!B119)</f>
        <v/>
      </c>
      <c r="B560">
        <f>IF(Criterios!B119="","",Criterios!D119/100)</f>
        <v/>
      </c>
      <c r="C560">
        <f>IF(Criterios!B119="","",'Satisfactorio')</f>
        <v/>
      </c>
      <c r="D560">
        <f>IF(Criterios!B119="","",Criterios!H119)</f>
        <v/>
      </c>
      <c r="E560">
        <f>IF(Criterios!B119="","",75)</f>
        <v/>
      </c>
      <c r="F560">
        <f>IF(Criterios!B119="","",Criterios!A119)</f>
        <v/>
      </c>
      <c r="G560">
        <f>IF(Criterios!B119="","",119)</f>
        <v/>
      </c>
    </row>
    <row r="561">
      <c r="A561">
        <f>IF(Criterios!B119="","",Criterios!B119)</f>
        <v/>
      </c>
      <c r="B561">
        <f>IF(Criterios!B119="","",Criterios!D119/100)</f>
        <v/>
      </c>
      <c r="C561">
        <f>IF(Criterios!B119="","",'Excelente')</f>
        <v/>
      </c>
      <c r="D561">
        <f>IF(Criterios!B119="","",Criterios!I119)</f>
        <v/>
      </c>
      <c r="E561">
        <f>IF(Criterios!B119="","",100)</f>
        <v/>
      </c>
      <c r="F561">
        <f>IF(Criterios!B119="","",Criterios!A119)</f>
        <v/>
      </c>
      <c r="G561">
        <f>IF(Criterios!B119="","",119)</f>
        <v/>
      </c>
    </row>
    <row r="562">
      <c r="A562">
        <f>IF(Criterios!B120="","",Criterios!B120)</f>
        <v/>
      </c>
      <c r="B562">
        <f>IF(Criterios!B120="","",Criterios!D120/100)</f>
        <v/>
      </c>
      <c r="C562">
        <f>IF(Criterios!B120="","",'Insatisfactorio')</f>
        <v/>
      </c>
      <c r="D562">
        <f>IF(Criterios!B120="","",Criterios!E120)</f>
        <v/>
      </c>
      <c r="E562">
        <f>IF(Criterios!B120="","",0)</f>
        <v/>
      </c>
      <c r="F562">
        <f>IF(Criterios!B120="","",Criterios!A120)</f>
        <v/>
      </c>
      <c r="G562">
        <f>IF(Criterios!B120="","",120)</f>
        <v/>
      </c>
    </row>
    <row r="563">
      <c r="A563">
        <f>IF(Criterios!B120="","",Criterios!B120)</f>
        <v/>
      </c>
      <c r="B563">
        <f>IF(Criterios!B120="","",Criterios!D120/100)</f>
        <v/>
      </c>
      <c r="C563">
        <f>IF(Criterios!B120="","",'Necesitas_Mejorar')</f>
        <v/>
      </c>
      <c r="D563">
        <f>IF(Criterios!B120="","",Criterios!F120)</f>
        <v/>
      </c>
      <c r="E563">
        <f>IF(Criterios!B120="","",25)</f>
        <v/>
      </c>
      <c r="F563">
        <f>IF(Criterios!B120="","",Criterios!A120)</f>
        <v/>
      </c>
      <c r="G563">
        <f>IF(Criterios!B120="","",120)</f>
        <v/>
      </c>
    </row>
    <row r="564">
      <c r="A564">
        <f>IF(Criterios!B120="","",Criterios!B120)</f>
        <v/>
      </c>
      <c r="B564">
        <f>IF(Criterios!B120="","",Criterios!D120/100)</f>
        <v/>
      </c>
      <c r="C564">
        <f>IF(Criterios!B120="","",'Bueno')</f>
        <v/>
      </c>
      <c r="D564">
        <f>IF(Criterios!B120="","",Criterios!G120)</f>
        <v/>
      </c>
      <c r="E564">
        <f>IF(Criterios!B120="","",50)</f>
        <v/>
      </c>
      <c r="F564">
        <f>IF(Criterios!B120="","",Criterios!A120)</f>
        <v/>
      </c>
      <c r="G564">
        <f>IF(Criterios!B120="","",120)</f>
        <v/>
      </c>
    </row>
    <row r="565">
      <c r="A565">
        <f>IF(Criterios!B120="","",Criterios!B120)</f>
        <v/>
      </c>
      <c r="B565">
        <f>IF(Criterios!B120="","",Criterios!D120/100)</f>
        <v/>
      </c>
      <c r="C565">
        <f>IF(Criterios!B120="","",'Satisfactorio')</f>
        <v/>
      </c>
      <c r="D565">
        <f>IF(Criterios!B120="","",Criterios!H120)</f>
        <v/>
      </c>
      <c r="E565">
        <f>IF(Criterios!B120="","",75)</f>
        <v/>
      </c>
      <c r="F565">
        <f>IF(Criterios!B120="","",Criterios!A120)</f>
        <v/>
      </c>
      <c r="G565">
        <f>IF(Criterios!B120="","",120)</f>
        <v/>
      </c>
    </row>
    <row r="566">
      <c r="A566">
        <f>IF(Criterios!B120="","",Criterios!B120)</f>
        <v/>
      </c>
      <c r="B566">
        <f>IF(Criterios!B120="","",Criterios!D120/100)</f>
        <v/>
      </c>
      <c r="C566">
        <f>IF(Criterios!B120="","",'Excelente')</f>
        <v/>
      </c>
      <c r="D566">
        <f>IF(Criterios!B120="","",Criterios!I120)</f>
        <v/>
      </c>
      <c r="E566">
        <f>IF(Criterios!B120="","",100)</f>
        <v/>
      </c>
      <c r="F566">
        <f>IF(Criterios!B120="","",Criterios!A120)</f>
        <v/>
      </c>
      <c r="G566">
        <f>IF(Criterios!B120="","",120)</f>
        <v/>
      </c>
    </row>
    <row r="567">
      <c r="A567">
        <f>IF(Criterios!B121="","",Criterios!B121)</f>
        <v/>
      </c>
      <c r="B567">
        <f>IF(Criterios!B121="","",Criterios!D121/100)</f>
        <v/>
      </c>
      <c r="C567">
        <f>IF(Criterios!B121="","",'Insatisfactorio')</f>
        <v/>
      </c>
      <c r="D567">
        <f>IF(Criterios!B121="","",Criterios!E121)</f>
        <v/>
      </c>
      <c r="E567">
        <f>IF(Criterios!B121="","",0)</f>
        <v/>
      </c>
      <c r="F567">
        <f>IF(Criterios!B121="","",Criterios!A121)</f>
        <v/>
      </c>
      <c r="G567">
        <f>IF(Criterios!B121="","",121)</f>
        <v/>
      </c>
    </row>
    <row r="568">
      <c r="A568">
        <f>IF(Criterios!B121="","",Criterios!B121)</f>
        <v/>
      </c>
      <c r="B568">
        <f>IF(Criterios!B121="","",Criterios!D121/100)</f>
        <v/>
      </c>
      <c r="C568">
        <f>IF(Criterios!B121="","",'Necesitas_Mejorar')</f>
        <v/>
      </c>
      <c r="D568">
        <f>IF(Criterios!B121="","",Criterios!F121)</f>
        <v/>
      </c>
      <c r="E568">
        <f>IF(Criterios!B121="","",25)</f>
        <v/>
      </c>
      <c r="F568">
        <f>IF(Criterios!B121="","",Criterios!A121)</f>
        <v/>
      </c>
      <c r="G568">
        <f>IF(Criterios!B121="","",121)</f>
        <v/>
      </c>
    </row>
    <row r="569">
      <c r="A569">
        <f>IF(Criterios!B121="","",Criterios!B121)</f>
        <v/>
      </c>
      <c r="B569">
        <f>IF(Criterios!B121="","",Criterios!D121/100)</f>
        <v/>
      </c>
      <c r="C569">
        <f>IF(Criterios!B121="","",'Bueno')</f>
        <v/>
      </c>
      <c r="D569">
        <f>IF(Criterios!B121="","",Criterios!G121)</f>
        <v/>
      </c>
      <c r="E569">
        <f>IF(Criterios!B121="","",50)</f>
        <v/>
      </c>
      <c r="F569">
        <f>IF(Criterios!B121="","",Criterios!A121)</f>
        <v/>
      </c>
      <c r="G569">
        <f>IF(Criterios!B121="","",121)</f>
        <v/>
      </c>
    </row>
    <row r="570">
      <c r="A570">
        <f>IF(Criterios!B121="","",Criterios!B121)</f>
        <v/>
      </c>
      <c r="B570">
        <f>IF(Criterios!B121="","",Criterios!D121/100)</f>
        <v/>
      </c>
      <c r="C570">
        <f>IF(Criterios!B121="","",'Satisfactorio')</f>
        <v/>
      </c>
      <c r="D570">
        <f>IF(Criterios!B121="","",Criterios!H121)</f>
        <v/>
      </c>
      <c r="E570">
        <f>IF(Criterios!B121="","",75)</f>
        <v/>
      </c>
      <c r="F570">
        <f>IF(Criterios!B121="","",Criterios!A121)</f>
        <v/>
      </c>
      <c r="G570">
        <f>IF(Criterios!B121="","",121)</f>
        <v/>
      </c>
    </row>
    <row r="571">
      <c r="A571">
        <f>IF(Criterios!B121="","",Criterios!B121)</f>
        <v/>
      </c>
      <c r="B571">
        <f>IF(Criterios!B121="","",Criterios!D121/100)</f>
        <v/>
      </c>
      <c r="C571">
        <f>IF(Criterios!B121="","",'Excelente')</f>
        <v/>
      </c>
      <c r="D571">
        <f>IF(Criterios!B121="","",Criterios!I121)</f>
        <v/>
      </c>
      <c r="E571">
        <f>IF(Criterios!B121="","",100)</f>
        <v/>
      </c>
      <c r="F571">
        <f>IF(Criterios!B121="","",Criterios!A121)</f>
        <v/>
      </c>
      <c r="G571">
        <f>IF(Criterios!B121="","",121)</f>
        <v/>
      </c>
    </row>
    <row r="572">
      <c r="A572">
        <f>IF(Criterios!B122="","",Criterios!B122)</f>
        <v/>
      </c>
      <c r="B572">
        <f>IF(Criterios!B122="","",Criterios!D122/100)</f>
        <v/>
      </c>
      <c r="C572">
        <f>IF(Criterios!B122="","",'Insatisfactorio')</f>
        <v/>
      </c>
      <c r="D572">
        <f>IF(Criterios!B122="","",Criterios!E122)</f>
        <v/>
      </c>
      <c r="E572">
        <f>IF(Criterios!B122="","",0)</f>
        <v/>
      </c>
      <c r="F572">
        <f>IF(Criterios!B122="","",Criterios!A122)</f>
        <v/>
      </c>
      <c r="G572">
        <f>IF(Criterios!B122="","",122)</f>
        <v/>
      </c>
    </row>
    <row r="573">
      <c r="A573">
        <f>IF(Criterios!B122="","",Criterios!B122)</f>
        <v/>
      </c>
      <c r="B573">
        <f>IF(Criterios!B122="","",Criterios!D122/100)</f>
        <v/>
      </c>
      <c r="C573">
        <f>IF(Criterios!B122="","",'Necesitas_Mejorar')</f>
        <v/>
      </c>
      <c r="D573">
        <f>IF(Criterios!B122="","",Criterios!F122)</f>
        <v/>
      </c>
      <c r="E573">
        <f>IF(Criterios!B122="","",25)</f>
        <v/>
      </c>
      <c r="F573">
        <f>IF(Criterios!B122="","",Criterios!A122)</f>
        <v/>
      </c>
      <c r="G573">
        <f>IF(Criterios!B122="","",122)</f>
        <v/>
      </c>
    </row>
    <row r="574">
      <c r="A574">
        <f>IF(Criterios!B122="","",Criterios!B122)</f>
        <v/>
      </c>
      <c r="B574">
        <f>IF(Criterios!B122="","",Criterios!D122/100)</f>
        <v/>
      </c>
      <c r="C574">
        <f>IF(Criterios!B122="","",'Bueno')</f>
        <v/>
      </c>
      <c r="D574">
        <f>IF(Criterios!B122="","",Criterios!G122)</f>
        <v/>
      </c>
      <c r="E574">
        <f>IF(Criterios!B122="","",50)</f>
        <v/>
      </c>
      <c r="F574">
        <f>IF(Criterios!B122="","",Criterios!A122)</f>
        <v/>
      </c>
      <c r="G574">
        <f>IF(Criterios!B122="","",122)</f>
        <v/>
      </c>
    </row>
    <row r="575">
      <c r="A575">
        <f>IF(Criterios!B122="","",Criterios!B122)</f>
        <v/>
      </c>
      <c r="B575">
        <f>IF(Criterios!B122="","",Criterios!D122/100)</f>
        <v/>
      </c>
      <c r="C575">
        <f>IF(Criterios!B122="","",'Satisfactorio')</f>
        <v/>
      </c>
      <c r="D575">
        <f>IF(Criterios!B122="","",Criterios!H122)</f>
        <v/>
      </c>
      <c r="E575">
        <f>IF(Criterios!B122="","",75)</f>
        <v/>
      </c>
      <c r="F575">
        <f>IF(Criterios!B122="","",Criterios!A122)</f>
        <v/>
      </c>
      <c r="G575">
        <f>IF(Criterios!B122="","",122)</f>
        <v/>
      </c>
    </row>
    <row r="576">
      <c r="A576">
        <f>IF(Criterios!B122="","",Criterios!B122)</f>
        <v/>
      </c>
      <c r="B576">
        <f>IF(Criterios!B122="","",Criterios!D122/100)</f>
        <v/>
      </c>
      <c r="C576">
        <f>IF(Criterios!B122="","",'Excelente')</f>
        <v/>
      </c>
      <c r="D576">
        <f>IF(Criterios!B122="","",Criterios!I122)</f>
        <v/>
      </c>
      <c r="E576">
        <f>IF(Criterios!B122="","",100)</f>
        <v/>
      </c>
      <c r="F576">
        <f>IF(Criterios!B122="","",Criterios!A122)</f>
        <v/>
      </c>
      <c r="G576">
        <f>IF(Criterios!B122="","",122)</f>
        <v/>
      </c>
    </row>
    <row r="577">
      <c r="A577">
        <f>IF(Criterios!B123="","",Criterios!B123)</f>
        <v/>
      </c>
      <c r="B577">
        <f>IF(Criterios!B123="","",Criterios!D123/100)</f>
        <v/>
      </c>
      <c r="C577">
        <f>IF(Criterios!B123="","",'Insatisfactorio')</f>
        <v/>
      </c>
      <c r="D577">
        <f>IF(Criterios!B123="","",Criterios!E123)</f>
        <v/>
      </c>
      <c r="E577">
        <f>IF(Criterios!B123="","",0)</f>
        <v/>
      </c>
      <c r="F577">
        <f>IF(Criterios!B123="","",Criterios!A123)</f>
        <v/>
      </c>
      <c r="G577">
        <f>IF(Criterios!B123="","",123)</f>
        <v/>
      </c>
    </row>
    <row r="578">
      <c r="A578">
        <f>IF(Criterios!B123="","",Criterios!B123)</f>
        <v/>
      </c>
      <c r="B578">
        <f>IF(Criterios!B123="","",Criterios!D123/100)</f>
        <v/>
      </c>
      <c r="C578">
        <f>IF(Criterios!B123="","",'Necesitas_Mejorar')</f>
        <v/>
      </c>
      <c r="D578">
        <f>IF(Criterios!B123="","",Criterios!F123)</f>
        <v/>
      </c>
      <c r="E578">
        <f>IF(Criterios!B123="","",25)</f>
        <v/>
      </c>
      <c r="F578">
        <f>IF(Criterios!B123="","",Criterios!A123)</f>
        <v/>
      </c>
      <c r="G578">
        <f>IF(Criterios!B123="","",123)</f>
        <v/>
      </c>
    </row>
    <row r="579">
      <c r="A579">
        <f>IF(Criterios!B123="","",Criterios!B123)</f>
        <v/>
      </c>
      <c r="B579">
        <f>IF(Criterios!B123="","",Criterios!D123/100)</f>
        <v/>
      </c>
      <c r="C579">
        <f>IF(Criterios!B123="","",'Bueno')</f>
        <v/>
      </c>
      <c r="D579">
        <f>IF(Criterios!B123="","",Criterios!G123)</f>
        <v/>
      </c>
      <c r="E579">
        <f>IF(Criterios!B123="","",50)</f>
        <v/>
      </c>
      <c r="F579">
        <f>IF(Criterios!B123="","",Criterios!A123)</f>
        <v/>
      </c>
      <c r="G579">
        <f>IF(Criterios!B123="","",123)</f>
        <v/>
      </c>
    </row>
    <row r="580">
      <c r="A580">
        <f>IF(Criterios!B123="","",Criterios!B123)</f>
        <v/>
      </c>
      <c r="B580">
        <f>IF(Criterios!B123="","",Criterios!D123/100)</f>
        <v/>
      </c>
      <c r="C580">
        <f>IF(Criterios!B123="","",'Satisfactorio')</f>
        <v/>
      </c>
      <c r="D580">
        <f>IF(Criterios!B123="","",Criterios!H123)</f>
        <v/>
      </c>
      <c r="E580">
        <f>IF(Criterios!B123="","",75)</f>
        <v/>
      </c>
      <c r="F580">
        <f>IF(Criterios!B123="","",Criterios!A123)</f>
        <v/>
      </c>
      <c r="G580">
        <f>IF(Criterios!B123="","",123)</f>
        <v/>
      </c>
    </row>
    <row r="581">
      <c r="A581">
        <f>IF(Criterios!B123="","",Criterios!B123)</f>
        <v/>
      </c>
      <c r="B581">
        <f>IF(Criterios!B123="","",Criterios!D123/100)</f>
        <v/>
      </c>
      <c r="C581">
        <f>IF(Criterios!B123="","",'Excelente')</f>
        <v/>
      </c>
      <c r="D581">
        <f>IF(Criterios!B123="","",Criterios!I123)</f>
        <v/>
      </c>
      <c r="E581">
        <f>IF(Criterios!B123="","",100)</f>
        <v/>
      </c>
      <c r="F581">
        <f>IF(Criterios!B123="","",Criterios!A123)</f>
        <v/>
      </c>
      <c r="G581">
        <f>IF(Criterios!B123="","",123)</f>
        <v/>
      </c>
    </row>
    <row r="582">
      <c r="A582">
        <f>IF(Criterios!B124="","",Criterios!B124)</f>
        <v/>
      </c>
      <c r="B582">
        <f>IF(Criterios!B124="","",Criterios!D124/100)</f>
        <v/>
      </c>
      <c r="C582">
        <f>IF(Criterios!B124="","",'Insatisfactorio')</f>
        <v/>
      </c>
      <c r="D582">
        <f>IF(Criterios!B124="","",Criterios!E124)</f>
        <v/>
      </c>
      <c r="E582">
        <f>IF(Criterios!B124="","",0)</f>
        <v/>
      </c>
      <c r="F582">
        <f>IF(Criterios!B124="","",Criterios!A124)</f>
        <v/>
      </c>
      <c r="G582">
        <f>IF(Criterios!B124="","",124)</f>
        <v/>
      </c>
    </row>
    <row r="583">
      <c r="A583">
        <f>IF(Criterios!B124="","",Criterios!B124)</f>
        <v/>
      </c>
      <c r="B583">
        <f>IF(Criterios!B124="","",Criterios!D124/100)</f>
        <v/>
      </c>
      <c r="C583">
        <f>IF(Criterios!B124="","",'Necesitas_Mejorar')</f>
        <v/>
      </c>
      <c r="D583">
        <f>IF(Criterios!B124="","",Criterios!F124)</f>
        <v/>
      </c>
      <c r="E583">
        <f>IF(Criterios!B124="","",25)</f>
        <v/>
      </c>
      <c r="F583">
        <f>IF(Criterios!B124="","",Criterios!A124)</f>
        <v/>
      </c>
      <c r="G583">
        <f>IF(Criterios!B124="","",124)</f>
        <v/>
      </c>
    </row>
    <row r="584">
      <c r="A584">
        <f>IF(Criterios!B124="","",Criterios!B124)</f>
        <v/>
      </c>
      <c r="B584">
        <f>IF(Criterios!B124="","",Criterios!D124/100)</f>
        <v/>
      </c>
      <c r="C584">
        <f>IF(Criterios!B124="","",'Bueno')</f>
        <v/>
      </c>
      <c r="D584">
        <f>IF(Criterios!B124="","",Criterios!G124)</f>
        <v/>
      </c>
      <c r="E584">
        <f>IF(Criterios!B124="","",50)</f>
        <v/>
      </c>
      <c r="F584">
        <f>IF(Criterios!B124="","",Criterios!A124)</f>
        <v/>
      </c>
      <c r="G584">
        <f>IF(Criterios!B124="","",124)</f>
        <v/>
      </c>
    </row>
    <row r="585">
      <c r="A585">
        <f>IF(Criterios!B124="","",Criterios!B124)</f>
        <v/>
      </c>
      <c r="B585">
        <f>IF(Criterios!B124="","",Criterios!D124/100)</f>
        <v/>
      </c>
      <c r="C585">
        <f>IF(Criterios!B124="","",'Satisfactorio')</f>
        <v/>
      </c>
      <c r="D585">
        <f>IF(Criterios!B124="","",Criterios!H124)</f>
        <v/>
      </c>
      <c r="E585">
        <f>IF(Criterios!B124="","",75)</f>
        <v/>
      </c>
      <c r="F585">
        <f>IF(Criterios!B124="","",Criterios!A124)</f>
        <v/>
      </c>
      <c r="G585">
        <f>IF(Criterios!B124="","",124)</f>
        <v/>
      </c>
    </row>
    <row r="586">
      <c r="A586">
        <f>IF(Criterios!B124="","",Criterios!B124)</f>
        <v/>
      </c>
      <c r="B586">
        <f>IF(Criterios!B124="","",Criterios!D124/100)</f>
        <v/>
      </c>
      <c r="C586">
        <f>IF(Criterios!B124="","",'Excelente')</f>
        <v/>
      </c>
      <c r="D586">
        <f>IF(Criterios!B124="","",Criterios!I124)</f>
        <v/>
      </c>
      <c r="E586">
        <f>IF(Criterios!B124="","",100)</f>
        <v/>
      </c>
      <c r="F586">
        <f>IF(Criterios!B124="","",Criterios!A124)</f>
        <v/>
      </c>
      <c r="G586">
        <f>IF(Criterios!B124="","",124)</f>
        <v/>
      </c>
    </row>
    <row r="587">
      <c r="A587">
        <f>IF(Criterios!B125="","",Criterios!B125)</f>
        <v/>
      </c>
      <c r="B587">
        <f>IF(Criterios!B125="","",Criterios!D125/100)</f>
        <v/>
      </c>
      <c r="C587">
        <f>IF(Criterios!B125="","",'Insatisfactorio')</f>
        <v/>
      </c>
      <c r="D587">
        <f>IF(Criterios!B125="","",Criterios!E125)</f>
        <v/>
      </c>
      <c r="E587">
        <f>IF(Criterios!B125="","",0)</f>
        <v/>
      </c>
      <c r="F587">
        <f>IF(Criterios!B125="","",Criterios!A125)</f>
        <v/>
      </c>
      <c r="G587">
        <f>IF(Criterios!B125="","",125)</f>
        <v/>
      </c>
    </row>
    <row r="588">
      <c r="A588">
        <f>IF(Criterios!B125="","",Criterios!B125)</f>
        <v/>
      </c>
      <c r="B588">
        <f>IF(Criterios!B125="","",Criterios!D125/100)</f>
        <v/>
      </c>
      <c r="C588">
        <f>IF(Criterios!B125="","",'Necesitas_Mejorar')</f>
        <v/>
      </c>
      <c r="D588">
        <f>IF(Criterios!B125="","",Criterios!F125)</f>
        <v/>
      </c>
      <c r="E588">
        <f>IF(Criterios!B125="","",25)</f>
        <v/>
      </c>
      <c r="F588">
        <f>IF(Criterios!B125="","",Criterios!A125)</f>
        <v/>
      </c>
      <c r="G588">
        <f>IF(Criterios!B125="","",125)</f>
        <v/>
      </c>
    </row>
    <row r="589">
      <c r="A589">
        <f>IF(Criterios!B125="","",Criterios!B125)</f>
        <v/>
      </c>
      <c r="B589">
        <f>IF(Criterios!B125="","",Criterios!D125/100)</f>
        <v/>
      </c>
      <c r="C589">
        <f>IF(Criterios!B125="","",'Bueno')</f>
        <v/>
      </c>
      <c r="D589">
        <f>IF(Criterios!B125="","",Criterios!G125)</f>
        <v/>
      </c>
      <c r="E589">
        <f>IF(Criterios!B125="","",50)</f>
        <v/>
      </c>
      <c r="F589">
        <f>IF(Criterios!B125="","",Criterios!A125)</f>
        <v/>
      </c>
      <c r="G589">
        <f>IF(Criterios!B125="","",125)</f>
        <v/>
      </c>
    </row>
    <row r="590">
      <c r="A590">
        <f>IF(Criterios!B125="","",Criterios!B125)</f>
        <v/>
      </c>
      <c r="B590">
        <f>IF(Criterios!B125="","",Criterios!D125/100)</f>
        <v/>
      </c>
      <c r="C590">
        <f>IF(Criterios!B125="","",'Satisfactorio')</f>
        <v/>
      </c>
      <c r="D590">
        <f>IF(Criterios!B125="","",Criterios!H125)</f>
        <v/>
      </c>
      <c r="E590">
        <f>IF(Criterios!B125="","",75)</f>
        <v/>
      </c>
      <c r="F590">
        <f>IF(Criterios!B125="","",Criterios!A125)</f>
        <v/>
      </c>
      <c r="G590">
        <f>IF(Criterios!B125="","",125)</f>
        <v/>
      </c>
    </row>
    <row r="591">
      <c r="A591">
        <f>IF(Criterios!B125="","",Criterios!B125)</f>
        <v/>
      </c>
      <c r="B591">
        <f>IF(Criterios!B125="","",Criterios!D125/100)</f>
        <v/>
      </c>
      <c r="C591">
        <f>IF(Criterios!B125="","",'Excelente')</f>
        <v/>
      </c>
      <c r="D591">
        <f>IF(Criterios!B125="","",Criterios!I125)</f>
        <v/>
      </c>
      <c r="E591">
        <f>IF(Criterios!B125="","",100)</f>
        <v/>
      </c>
      <c r="F591">
        <f>IF(Criterios!B125="","",Criterios!A125)</f>
        <v/>
      </c>
      <c r="G591">
        <f>IF(Criterios!B125="","",125)</f>
        <v/>
      </c>
    </row>
    <row r="592">
      <c r="A592">
        <f>IF(Criterios!B126="","",Criterios!B126)</f>
        <v/>
      </c>
      <c r="B592">
        <f>IF(Criterios!B126="","",Criterios!D126/100)</f>
        <v/>
      </c>
      <c r="C592">
        <f>IF(Criterios!B126="","",'Insatisfactorio')</f>
        <v/>
      </c>
      <c r="D592">
        <f>IF(Criterios!B126="","",Criterios!E126)</f>
        <v/>
      </c>
      <c r="E592">
        <f>IF(Criterios!B126="","",0)</f>
        <v/>
      </c>
      <c r="F592">
        <f>IF(Criterios!B126="","",Criterios!A126)</f>
        <v/>
      </c>
      <c r="G592">
        <f>IF(Criterios!B126="","",126)</f>
        <v/>
      </c>
    </row>
    <row r="593">
      <c r="A593">
        <f>IF(Criterios!B126="","",Criterios!B126)</f>
        <v/>
      </c>
      <c r="B593">
        <f>IF(Criterios!B126="","",Criterios!D126/100)</f>
        <v/>
      </c>
      <c r="C593">
        <f>IF(Criterios!B126="","",'Necesitas_Mejorar')</f>
        <v/>
      </c>
      <c r="D593">
        <f>IF(Criterios!B126="","",Criterios!F126)</f>
        <v/>
      </c>
      <c r="E593">
        <f>IF(Criterios!B126="","",25)</f>
        <v/>
      </c>
      <c r="F593">
        <f>IF(Criterios!B126="","",Criterios!A126)</f>
        <v/>
      </c>
      <c r="G593">
        <f>IF(Criterios!B126="","",126)</f>
        <v/>
      </c>
    </row>
    <row r="594">
      <c r="A594">
        <f>IF(Criterios!B126="","",Criterios!B126)</f>
        <v/>
      </c>
      <c r="B594">
        <f>IF(Criterios!B126="","",Criterios!D126/100)</f>
        <v/>
      </c>
      <c r="C594">
        <f>IF(Criterios!B126="","",'Bueno')</f>
        <v/>
      </c>
      <c r="D594">
        <f>IF(Criterios!B126="","",Criterios!G126)</f>
        <v/>
      </c>
      <c r="E594">
        <f>IF(Criterios!B126="","",50)</f>
        <v/>
      </c>
      <c r="F594">
        <f>IF(Criterios!B126="","",Criterios!A126)</f>
        <v/>
      </c>
      <c r="G594">
        <f>IF(Criterios!B126="","",126)</f>
        <v/>
      </c>
    </row>
    <row r="595">
      <c r="A595">
        <f>IF(Criterios!B126="","",Criterios!B126)</f>
        <v/>
      </c>
      <c r="B595">
        <f>IF(Criterios!B126="","",Criterios!D126/100)</f>
        <v/>
      </c>
      <c r="C595">
        <f>IF(Criterios!B126="","",'Satisfactorio')</f>
        <v/>
      </c>
      <c r="D595">
        <f>IF(Criterios!B126="","",Criterios!H126)</f>
        <v/>
      </c>
      <c r="E595">
        <f>IF(Criterios!B126="","",75)</f>
        <v/>
      </c>
      <c r="F595">
        <f>IF(Criterios!B126="","",Criterios!A126)</f>
        <v/>
      </c>
      <c r="G595">
        <f>IF(Criterios!B126="","",126)</f>
        <v/>
      </c>
    </row>
    <row r="596">
      <c r="A596">
        <f>IF(Criterios!B126="","",Criterios!B126)</f>
        <v/>
      </c>
      <c r="B596">
        <f>IF(Criterios!B126="","",Criterios!D126/100)</f>
        <v/>
      </c>
      <c r="C596">
        <f>IF(Criterios!B126="","",'Excelente')</f>
        <v/>
      </c>
      <c r="D596">
        <f>IF(Criterios!B126="","",Criterios!I126)</f>
        <v/>
      </c>
      <c r="E596">
        <f>IF(Criterios!B126="","",100)</f>
        <v/>
      </c>
      <c r="F596">
        <f>IF(Criterios!B126="","",Criterios!A126)</f>
        <v/>
      </c>
      <c r="G596">
        <f>IF(Criterios!B126="","",126)</f>
        <v/>
      </c>
    </row>
    <row r="597">
      <c r="A597">
        <f>IF(Criterios!B127="","",Criterios!B127)</f>
        <v/>
      </c>
      <c r="B597">
        <f>IF(Criterios!B127="","",Criterios!D127/100)</f>
        <v/>
      </c>
      <c r="C597">
        <f>IF(Criterios!B127="","",'Insatisfactorio')</f>
        <v/>
      </c>
      <c r="D597">
        <f>IF(Criterios!B127="","",Criterios!E127)</f>
        <v/>
      </c>
      <c r="E597">
        <f>IF(Criterios!B127="","",0)</f>
        <v/>
      </c>
      <c r="F597">
        <f>IF(Criterios!B127="","",Criterios!A127)</f>
        <v/>
      </c>
      <c r="G597">
        <f>IF(Criterios!B127="","",127)</f>
        <v/>
      </c>
    </row>
    <row r="598">
      <c r="A598">
        <f>IF(Criterios!B127="","",Criterios!B127)</f>
        <v/>
      </c>
      <c r="B598">
        <f>IF(Criterios!B127="","",Criterios!D127/100)</f>
        <v/>
      </c>
      <c r="C598">
        <f>IF(Criterios!B127="","",'Necesitas_Mejorar')</f>
        <v/>
      </c>
      <c r="D598">
        <f>IF(Criterios!B127="","",Criterios!F127)</f>
        <v/>
      </c>
      <c r="E598">
        <f>IF(Criterios!B127="","",25)</f>
        <v/>
      </c>
      <c r="F598">
        <f>IF(Criterios!B127="","",Criterios!A127)</f>
        <v/>
      </c>
      <c r="G598">
        <f>IF(Criterios!B127="","",127)</f>
        <v/>
      </c>
    </row>
    <row r="599">
      <c r="A599">
        <f>IF(Criterios!B127="","",Criterios!B127)</f>
        <v/>
      </c>
      <c r="B599">
        <f>IF(Criterios!B127="","",Criterios!D127/100)</f>
        <v/>
      </c>
      <c r="C599">
        <f>IF(Criterios!B127="","",'Bueno')</f>
        <v/>
      </c>
      <c r="D599">
        <f>IF(Criterios!B127="","",Criterios!G127)</f>
        <v/>
      </c>
      <c r="E599">
        <f>IF(Criterios!B127="","",50)</f>
        <v/>
      </c>
      <c r="F599">
        <f>IF(Criterios!B127="","",Criterios!A127)</f>
        <v/>
      </c>
      <c r="G599">
        <f>IF(Criterios!B127="","",127)</f>
        <v/>
      </c>
    </row>
    <row r="600">
      <c r="A600">
        <f>IF(Criterios!B127="","",Criterios!B127)</f>
        <v/>
      </c>
      <c r="B600">
        <f>IF(Criterios!B127="","",Criterios!D127/100)</f>
        <v/>
      </c>
      <c r="C600">
        <f>IF(Criterios!B127="","",'Satisfactorio')</f>
        <v/>
      </c>
      <c r="D600">
        <f>IF(Criterios!B127="","",Criterios!H127)</f>
        <v/>
      </c>
      <c r="E600">
        <f>IF(Criterios!B127="","",75)</f>
        <v/>
      </c>
      <c r="F600">
        <f>IF(Criterios!B127="","",Criterios!A127)</f>
        <v/>
      </c>
      <c r="G600">
        <f>IF(Criterios!B127="","",127)</f>
        <v/>
      </c>
    </row>
    <row r="601">
      <c r="A601">
        <f>IF(Criterios!B127="","",Criterios!B127)</f>
        <v/>
      </c>
      <c r="B601">
        <f>IF(Criterios!B127="","",Criterios!D127/100)</f>
        <v/>
      </c>
      <c r="C601">
        <f>IF(Criterios!B127="","",'Excelente')</f>
        <v/>
      </c>
      <c r="D601">
        <f>IF(Criterios!B127="","",Criterios!I127)</f>
        <v/>
      </c>
      <c r="E601">
        <f>IF(Criterios!B127="","",100)</f>
        <v/>
      </c>
      <c r="F601">
        <f>IF(Criterios!B127="","",Criterios!A127)</f>
        <v/>
      </c>
      <c r="G601">
        <f>IF(Criterios!B127="","",127)</f>
        <v/>
      </c>
    </row>
    <row r="602">
      <c r="A602">
        <f>IF(Criterios!B128="","",Criterios!B128)</f>
        <v/>
      </c>
      <c r="B602">
        <f>IF(Criterios!B128="","",Criterios!D128/100)</f>
        <v/>
      </c>
      <c r="C602">
        <f>IF(Criterios!B128="","",'Insatisfactorio')</f>
        <v/>
      </c>
      <c r="D602">
        <f>IF(Criterios!B128="","",Criterios!E128)</f>
        <v/>
      </c>
      <c r="E602">
        <f>IF(Criterios!B128="","",0)</f>
        <v/>
      </c>
      <c r="F602">
        <f>IF(Criterios!B128="","",Criterios!A128)</f>
        <v/>
      </c>
      <c r="G602">
        <f>IF(Criterios!B128="","",128)</f>
        <v/>
      </c>
    </row>
    <row r="603">
      <c r="A603">
        <f>IF(Criterios!B128="","",Criterios!B128)</f>
        <v/>
      </c>
      <c r="B603">
        <f>IF(Criterios!B128="","",Criterios!D128/100)</f>
        <v/>
      </c>
      <c r="C603">
        <f>IF(Criterios!B128="","",'Necesitas_Mejorar')</f>
        <v/>
      </c>
      <c r="D603">
        <f>IF(Criterios!B128="","",Criterios!F128)</f>
        <v/>
      </c>
      <c r="E603">
        <f>IF(Criterios!B128="","",25)</f>
        <v/>
      </c>
      <c r="F603">
        <f>IF(Criterios!B128="","",Criterios!A128)</f>
        <v/>
      </c>
      <c r="G603">
        <f>IF(Criterios!B128="","",128)</f>
        <v/>
      </c>
    </row>
    <row r="604">
      <c r="A604">
        <f>IF(Criterios!B128="","",Criterios!B128)</f>
        <v/>
      </c>
      <c r="B604">
        <f>IF(Criterios!B128="","",Criterios!D128/100)</f>
        <v/>
      </c>
      <c r="C604">
        <f>IF(Criterios!B128="","",'Bueno')</f>
        <v/>
      </c>
      <c r="D604">
        <f>IF(Criterios!B128="","",Criterios!G128)</f>
        <v/>
      </c>
      <c r="E604">
        <f>IF(Criterios!B128="","",50)</f>
        <v/>
      </c>
      <c r="F604">
        <f>IF(Criterios!B128="","",Criterios!A128)</f>
        <v/>
      </c>
      <c r="G604">
        <f>IF(Criterios!B128="","",128)</f>
        <v/>
      </c>
    </row>
    <row r="605">
      <c r="A605">
        <f>IF(Criterios!B128="","",Criterios!B128)</f>
        <v/>
      </c>
      <c r="B605">
        <f>IF(Criterios!B128="","",Criterios!D128/100)</f>
        <v/>
      </c>
      <c r="C605">
        <f>IF(Criterios!B128="","",'Satisfactorio')</f>
        <v/>
      </c>
      <c r="D605">
        <f>IF(Criterios!B128="","",Criterios!H128)</f>
        <v/>
      </c>
      <c r="E605">
        <f>IF(Criterios!B128="","",75)</f>
        <v/>
      </c>
      <c r="F605">
        <f>IF(Criterios!B128="","",Criterios!A128)</f>
        <v/>
      </c>
      <c r="G605">
        <f>IF(Criterios!B128="","",128)</f>
        <v/>
      </c>
    </row>
    <row r="606">
      <c r="A606">
        <f>IF(Criterios!B128="","",Criterios!B128)</f>
        <v/>
      </c>
      <c r="B606">
        <f>IF(Criterios!B128="","",Criterios!D128/100)</f>
        <v/>
      </c>
      <c r="C606">
        <f>IF(Criterios!B128="","",'Excelente')</f>
        <v/>
      </c>
      <c r="D606">
        <f>IF(Criterios!B128="","",Criterios!I128)</f>
        <v/>
      </c>
      <c r="E606">
        <f>IF(Criterios!B128="","",100)</f>
        <v/>
      </c>
      <c r="F606">
        <f>IF(Criterios!B128="","",Criterios!A128)</f>
        <v/>
      </c>
      <c r="G606">
        <f>IF(Criterios!B128="","",128)</f>
        <v/>
      </c>
    </row>
    <row r="607">
      <c r="A607">
        <f>IF(Criterios!B129="","",Criterios!B129)</f>
        <v/>
      </c>
      <c r="B607">
        <f>IF(Criterios!B129="","",Criterios!D129/100)</f>
        <v/>
      </c>
      <c r="C607">
        <f>IF(Criterios!B129="","",'Insatisfactorio')</f>
        <v/>
      </c>
      <c r="D607">
        <f>IF(Criterios!B129="","",Criterios!E129)</f>
        <v/>
      </c>
      <c r="E607">
        <f>IF(Criterios!B129="","",0)</f>
        <v/>
      </c>
      <c r="F607">
        <f>IF(Criterios!B129="","",Criterios!A129)</f>
        <v/>
      </c>
      <c r="G607">
        <f>IF(Criterios!B129="","",129)</f>
        <v/>
      </c>
    </row>
    <row r="608">
      <c r="A608">
        <f>IF(Criterios!B129="","",Criterios!B129)</f>
        <v/>
      </c>
      <c r="B608">
        <f>IF(Criterios!B129="","",Criterios!D129/100)</f>
        <v/>
      </c>
      <c r="C608">
        <f>IF(Criterios!B129="","",'Necesitas_Mejorar')</f>
        <v/>
      </c>
      <c r="D608">
        <f>IF(Criterios!B129="","",Criterios!F129)</f>
        <v/>
      </c>
      <c r="E608">
        <f>IF(Criterios!B129="","",25)</f>
        <v/>
      </c>
      <c r="F608">
        <f>IF(Criterios!B129="","",Criterios!A129)</f>
        <v/>
      </c>
      <c r="G608">
        <f>IF(Criterios!B129="","",129)</f>
        <v/>
      </c>
    </row>
    <row r="609">
      <c r="A609">
        <f>IF(Criterios!B129="","",Criterios!B129)</f>
        <v/>
      </c>
      <c r="B609">
        <f>IF(Criterios!B129="","",Criterios!D129/100)</f>
        <v/>
      </c>
      <c r="C609">
        <f>IF(Criterios!B129="","",'Bueno')</f>
        <v/>
      </c>
      <c r="D609">
        <f>IF(Criterios!B129="","",Criterios!G129)</f>
        <v/>
      </c>
      <c r="E609">
        <f>IF(Criterios!B129="","",50)</f>
        <v/>
      </c>
      <c r="F609">
        <f>IF(Criterios!B129="","",Criterios!A129)</f>
        <v/>
      </c>
      <c r="G609">
        <f>IF(Criterios!B129="","",129)</f>
        <v/>
      </c>
    </row>
    <row r="610">
      <c r="A610">
        <f>IF(Criterios!B129="","",Criterios!B129)</f>
        <v/>
      </c>
      <c r="B610">
        <f>IF(Criterios!B129="","",Criterios!D129/100)</f>
        <v/>
      </c>
      <c r="C610">
        <f>IF(Criterios!B129="","",'Satisfactorio')</f>
        <v/>
      </c>
      <c r="D610">
        <f>IF(Criterios!B129="","",Criterios!H129)</f>
        <v/>
      </c>
      <c r="E610">
        <f>IF(Criterios!B129="","",75)</f>
        <v/>
      </c>
      <c r="F610">
        <f>IF(Criterios!B129="","",Criterios!A129)</f>
        <v/>
      </c>
      <c r="G610">
        <f>IF(Criterios!B129="","",129)</f>
        <v/>
      </c>
    </row>
    <row r="611">
      <c r="A611">
        <f>IF(Criterios!B129="","",Criterios!B129)</f>
        <v/>
      </c>
      <c r="B611">
        <f>IF(Criterios!B129="","",Criterios!D129/100)</f>
        <v/>
      </c>
      <c r="C611">
        <f>IF(Criterios!B129="","",'Excelente')</f>
        <v/>
      </c>
      <c r="D611">
        <f>IF(Criterios!B129="","",Criterios!I129)</f>
        <v/>
      </c>
      <c r="E611">
        <f>IF(Criterios!B129="","",100)</f>
        <v/>
      </c>
      <c r="F611">
        <f>IF(Criterios!B129="","",Criterios!A129)</f>
        <v/>
      </c>
      <c r="G611">
        <f>IF(Criterios!B129="","",129)</f>
        <v/>
      </c>
    </row>
    <row r="612">
      <c r="A612">
        <f>IF(Criterios!B130="","",Criterios!B130)</f>
        <v/>
      </c>
      <c r="B612">
        <f>IF(Criterios!B130="","",Criterios!D130/100)</f>
        <v/>
      </c>
      <c r="C612">
        <f>IF(Criterios!B130="","",'Insatisfactorio')</f>
        <v/>
      </c>
      <c r="D612">
        <f>IF(Criterios!B130="","",Criterios!E130)</f>
        <v/>
      </c>
      <c r="E612">
        <f>IF(Criterios!B130="","",0)</f>
        <v/>
      </c>
      <c r="F612">
        <f>IF(Criterios!B130="","",Criterios!A130)</f>
        <v/>
      </c>
      <c r="G612">
        <f>IF(Criterios!B130="","",130)</f>
        <v/>
      </c>
    </row>
    <row r="613">
      <c r="A613">
        <f>IF(Criterios!B130="","",Criterios!B130)</f>
        <v/>
      </c>
      <c r="B613">
        <f>IF(Criterios!B130="","",Criterios!D130/100)</f>
        <v/>
      </c>
      <c r="C613">
        <f>IF(Criterios!B130="","",'Necesitas_Mejorar')</f>
        <v/>
      </c>
      <c r="D613">
        <f>IF(Criterios!B130="","",Criterios!F130)</f>
        <v/>
      </c>
      <c r="E613">
        <f>IF(Criterios!B130="","",25)</f>
        <v/>
      </c>
      <c r="F613">
        <f>IF(Criterios!B130="","",Criterios!A130)</f>
        <v/>
      </c>
      <c r="G613">
        <f>IF(Criterios!B130="","",130)</f>
        <v/>
      </c>
    </row>
    <row r="614">
      <c r="A614">
        <f>IF(Criterios!B130="","",Criterios!B130)</f>
        <v/>
      </c>
      <c r="B614">
        <f>IF(Criterios!B130="","",Criterios!D130/100)</f>
        <v/>
      </c>
      <c r="C614">
        <f>IF(Criterios!B130="","",'Bueno')</f>
        <v/>
      </c>
      <c r="D614">
        <f>IF(Criterios!B130="","",Criterios!G130)</f>
        <v/>
      </c>
      <c r="E614">
        <f>IF(Criterios!B130="","",50)</f>
        <v/>
      </c>
      <c r="F614">
        <f>IF(Criterios!B130="","",Criterios!A130)</f>
        <v/>
      </c>
      <c r="G614">
        <f>IF(Criterios!B130="","",130)</f>
        <v/>
      </c>
    </row>
    <row r="615">
      <c r="A615">
        <f>IF(Criterios!B130="","",Criterios!B130)</f>
        <v/>
      </c>
      <c r="B615">
        <f>IF(Criterios!B130="","",Criterios!D130/100)</f>
        <v/>
      </c>
      <c r="C615">
        <f>IF(Criterios!B130="","",'Satisfactorio')</f>
        <v/>
      </c>
      <c r="D615">
        <f>IF(Criterios!B130="","",Criterios!H130)</f>
        <v/>
      </c>
      <c r="E615">
        <f>IF(Criterios!B130="","",75)</f>
        <v/>
      </c>
      <c r="F615">
        <f>IF(Criterios!B130="","",Criterios!A130)</f>
        <v/>
      </c>
      <c r="G615">
        <f>IF(Criterios!B130="","",130)</f>
        <v/>
      </c>
    </row>
    <row r="616">
      <c r="A616">
        <f>IF(Criterios!B130="","",Criterios!B130)</f>
        <v/>
      </c>
      <c r="B616">
        <f>IF(Criterios!B130="","",Criterios!D130/100)</f>
        <v/>
      </c>
      <c r="C616">
        <f>IF(Criterios!B130="","",'Excelente')</f>
        <v/>
      </c>
      <c r="D616">
        <f>IF(Criterios!B130="","",Criterios!I130)</f>
        <v/>
      </c>
      <c r="E616">
        <f>IF(Criterios!B130="","",100)</f>
        <v/>
      </c>
      <c r="F616">
        <f>IF(Criterios!B130="","",Criterios!A130)</f>
        <v/>
      </c>
      <c r="G616">
        <f>IF(Criterios!B130="","",130)</f>
        <v/>
      </c>
    </row>
    <row r="617">
      <c r="A617">
        <f>IF(Criterios!B131="","",Criterios!B131)</f>
        <v/>
      </c>
      <c r="B617">
        <f>IF(Criterios!B131="","",Criterios!D131/100)</f>
        <v/>
      </c>
      <c r="C617">
        <f>IF(Criterios!B131="","",'Insatisfactorio')</f>
        <v/>
      </c>
      <c r="D617">
        <f>IF(Criterios!B131="","",Criterios!E131)</f>
        <v/>
      </c>
      <c r="E617">
        <f>IF(Criterios!B131="","",0)</f>
        <v/>
      </c>
      <c r="F617">
        <f>IF(Criterios!B131="","",Criterios!A131)</f>
        <v/>
      </c>
      <c r="G617">
        <f>IF(Criterios!B131="","",131)</f>
        <v/>
      </c>
    </row>
    <row r="618">
      <c r="A618">
        <f>IF(Criterios!B131="","",Criterios!B131)</f>
        <v/>
      </c>
      <c r="B618">
        <f>IF(Criterios!B131="","",Criterios!D131/100)</f>
        <v/>
      </c>
      <c r="C618">
        <f>IF(Criterios!B131="","",'Necesitas_Mejorar')</f>
        <v/>
      </c>
      <c r="D618">
        <f>IF(Criterios!B131="","",Criterios!F131)</f>
        <v/>
      </c>
      <c r="E618">
        <f>IF(Criterios!B131="","",25)</f>
        <v/>
      </c>
      <c r="F618">
        <f>IF(Criterios!B131="","",Criterios!A131)</f>
        <v/>
      </c>
      <c r="G618">
        <f>IF(Criterios!B131="","",131)</f>
        <v/>
      </c>
    </row>
    <row r="619">
      <c r="A619">
        <f>IF(Criterios!B131="","",Criterios!B131)</f>
        <v/>
      </c>
      <c r="B619">
        <f>IF(Criterios!B131="","",Criterios!D131/100)</f>
        <v/>
      </c>
      <c r="C619">
        <f>IF(Criterios!B131="","",'Bueno')</f>
        <v/>
      </c>
      <c r="D619">
        <f>IF(Criterios!B131="","",Criterios!G131)</f>
        <v/>
      </c>
      <c r="E619">
        <f>IF(Criterios!B131="","",50)</f>
        <v/>
      </c>
      <c r="F619">
        <f>IF(Criterios!B131="","",Criterios!A131)</f>
        <v/>
      </c>
      <c r="G619">
        <f>IF(Criterios!B131="","",131)</f>
        <v/>
      </c>
    </row>
    <row r="620">
      <c r="A620">
        <f>IF(Criterios!B131="","",Criterios!B131)</f>
        <v/>
      </c>
      <c r="B620">
        <f>IF(Criterios!B131="","",Criterios!D131/100)</f>
        <v/>
      </c>
      <c r="C620">
        <f>IF(Criterios!B131="","",'Satisfactorio')</f>
        <v/>
      </c>
      <c r="D620">
        <f>IF(Criterios!B131="","",Criterios!H131)</f>
        <v/>
      </c>
      <c r="E620">
        <f>IF(Criterios!B131="","",75)</f>
        <v/>
      </c>
      <c r="F620">
        <f>IF(Criterios!B131="","",Criterios!A131)</f>
        <v/>
      </c>
      <c r="G620">
        <f>IF(Criterios!B131="","",131)</f>
        <v/>
      </c>
    </row>
    <row r="621">
      <c r="A621">
        <f>IF(Criterios!B131="","",Criterios!B131)</f>
        <v/>
      </c>
      <c r="B621">
        <f>IF(Criterios!B131="","",Criterios!D131/100)</f>
        <v/>
      </c>
      <c r="C621">
        <f>IF(Criterios!B131="","",'Excelente')</f>
        <v/>
      </c>
      <c r="D621">
        <f>IF(Criterios!B131="","",Criterios!I131)</f>
        <v/>
      </c>
      <c r="E621">
        <f>IF(Criterios!B131="","",100)</f>
        <v/>
      </c>
      <c r="F621">
        <f>IF(Criterios!B131="","",Criterios!A131)</f>
        <v/>
      </c>
      <c r="G621">
        <f>IF(Criterios!B131="","",131)</f>
        <v/>
      </c>
    </row>
    <row r="622">
      <c r="A622">
        <f>IF(Criterios!B132="","",Criterios!B132)</f>
        <v/>
      </c>
      <c r="B622">
        <f>IF(Criterios!B132="","",Criterios!D132/100)</f>
        <v/>
      </c>
      <c r="C622">
        <f>IF(Criterios!B132="","",'Insatisfactorio')</f>
        <v/>
      </c>
      <c r="D622">
        <f>IF(Criterios!B132="","",Criterios!E132)</f>
        <v/>
      </c>
      <c r="E622">
        <f>IF(Criterios!B132="","",0)</f>
        <v/>
      </c>
      <c r="F622">
        <f>IF(Criterios!B132="","",Criterios!A132)</f>
        <v/>
      </c>
      <c r="G622">
        <f>IF(Criterios!B132="","",132)</f>
        <v/>
      </c>
    </row>
    <row r="623">
      <c r="A623">
        <f>IF(Criterios!B132="","",Criterios!B132)</f>
        <v/>
      </c>
      <c r="B623">
        <f>IF(Criterios!B132="","",Criterios!D132/100)</f>
        <v/>
      </c>
      <c r="C623">
        <f>IF(Criterios!B132="","",'Necesitas_Mejorar')</f>
        <v/>
      </c>
      <c r="D623">
        <f>IF(Criterios!B132="","",Criterios!F132)</f>
        <v/>
      </c>
      <c r="E623">
        <f>IF(Criterios!B132="","",25)</f>
        <v/>
      </c>
      <c r="F623">
        <f>IF(Criterios!B132="","",Criterios!A132)</f>
        <v/>
      </c>
      <c r="G623">
        <f>IF(Criterios!B132="","",132)</f>
        <v/>
      </c>
    </row>
    <row r="624">
      <c r="A624">
        <f>IF(Criterios!B132="","",Criterios!B132)</f>
        <v/>
      </c>
      <c r="B624">
        <f>IF(Criterios!B132="","",Criterios!D132/100)</f>
        <v/>
      </c>
      <c r="C624">
        <f>IF(Criterios!B132="","",'Bueno')</f>
        <v/>
      </c>
      <c r="D624">
        <f>IF(Criterios!B132="","",Criterios!G132)</f>
        <v/>
      </c>
      <c r="E624">
        <f>IF(Criterios!B132="","",50)</f>
        <v/>
      </c>
      <c r="F624">
        <f>IF(Criterios!B132="","",Criterios!A132)</f>
        <v/>
      </c>
      <c r="G624">
        <f>IF(Criterios!B132="","",132)</f>
        <v/>
      </c>
    </row>
    <row r="625">
      <c r="A625">
        <f>IF(Criterios!B132="","",Criterios!B132)</f>
        <v/>
      </c>
      <c r="B625">
        <f>IF(Criterios!B132="","",Criterios!D132/100)</f>
        <v/>
      </c>
      <c r="C625">
        <f>IF(Criterios!B132="","",'Satisfactorio')</f>
        <v/>
      </c>
      <c r="D625">
        <f>IF(Criterios!B132="","",Criterios!H132)</f>
        <v/>
      </c>
      <c r="E625">
        <f>IF(Criterios!B132="","",75)</f>
        <v/>
      </c>
      <c r="F625">
        <f>IF(Criterios!B132="","",Criterios!A132)</f>
        <v/>
      </c>
      <c r="G625">
        <f>IF(Criterios!B132="","",132)</f>
        <v/>
      </c>
    </row>
    <row r="626">
      <c r="A626">
        <f>IF(Criterios!B132="","",Criterios!B132)</f>
        <v/>
      </c>
      <c r="B626">
        <f>IF(Criterios!B132="","",Criterios!D132/100)</f>
        <v/>
      </c>
      <c r="C626">
        <f>IF(Criterios!B132="","",'Excelente')</f>
        <v/>
      </c>
      <c r="D626">
        <f>IF(Criterios!B132="","",Criterios!I132)</f>
        <v/>
      </c>
      <c r="E626">
        <f>IF(Criterios!B132="","",100)</f>
        <v/>
      </c>
      <c r="F626">
        <f>IF(Criterios!B132="","",Criterios!A132)</f>
        <v/>
      </c>
      <c r="G626">
        <f>IF(Criterios!B132="","",132)</f>
        <v/>
      </c>
    </row>
    <row r="627">
      <c r="A627">
        <f>IF(Criterios!B133="","",Criterios!B133)</f>
        <v/>
      </c>
      <c r="B627">
        <f>IF(Criterios!B133="","",Criterios!D133/100)</f>
        <v/>
      </c>
      <c r="C627">
        <f>IF(Criterios!B133="","",'Insatisfactorio')</f>
        <v/>
      </c>
      <c r="D627">
        <f>IF(Criterios!B133="","",Criterios!E133)</f>
        <v/>
      </c>
      <c r="E627">
        <f>IF(Criterios!B133="","",0)</f>
        <v/>
      </c>
      <c r="F627">
        <f>IF(Criterios!B133="","",Criterios!A133)</f>
        <v/>
      </c>
      <c r="G627">
        <f>IF(Criterios!B133="","",133)</f>
        <v/>
      </c>
    </row>
    <row r="628">
      <c r="A628">
        <f>IF(Criterios!B133="","",Criterios!B133)</f>
        <v/>
      </c>
      <c r="B628">
        <f>IF(Criterios!B133="","",Criterios!D133/100)</f>
        <v/>
      </c>
      <c r="C628">
        <f>IF(Criterios!B133="","",'Necesitas_Mejorar')</f>
        <v/>
      </c>
      <c r="D628">
        <f>IF(Criterios!B133="","",Criterios!F133)</f>
        <v/>
      </c>
      <c r="E628">
        <f>IF(Criterios!B133="","",25)</f>
        <v/>
      </c>
      <c r="F628">
        <f>IF(Criterios!B133="","",Criterios!A133)</f>
        <v/>
      </c>
      <c r="G628">
        <f>IF(Criterios!B133="","",133)</f>
        <v/>
      </c>
    </row>
    <row r="629">
      <c r="A629">
        <f>IF(Criterios!B133="","",Criterios!B133)</f>
        <v/>
      </c>
      <c r="B629">
        <f>IF(Criterios!B133="","",Criterios!D133/100)</f>
        <v/>
      </c>
      <c r="C629">
        <f>IF(Criterios!B133="","",'Bueno')</f>
        <v/>
      </c>
      <c r="D629">
        <f>IF(Criterios!B133="","",Criterios!G133)</f>
        <v/>
      </c>
      <c r="E629">
        <f>IF(Criterios!B133="","",50)</f>
        <v/>
      </c>
      <c r="F629">
        <f>IF(Criterios!B133="","",Criterios!A133)</f>
        <v/>
      </c>
      <c r="G629">
        <f>IF(Criterios!B133="","",133)</f>
        <v/>
      </c>
    </row>
    <row r="630">
      <c r="A630">
        <f>IF(Criterios!B133="","",Criterios!B133)</f>
        <v/>
      </c>
      <c r="B630">
        <f>IF(Criterios!B133="","",Criterios!D133/100)</f>
        <v/>
      </c>
      <c r="C630">
        <f>IF(Criterios!B133="","",'Satisfactorio')</f>
        <v/>
      </c>
      <c r="D630">
        <f>IF(Criterios!B133="","",Criterios!H133)</f>
        <v/>
      </c>
      <c r="E630">
        <f>IF(Criterios!B133="","",75)</f>
        <v/>
      </c>
      <c r="F630">
        <f>IF(Criterios!B133="","",Criterios!A133)</f>
        <v/>
      </c>
      <c r="G630">
        <f>IF(Criterios!B133="","",133)</f>
        <v/>
      </c>
    </row>
    <row r="631">
      <c r="A631">
        <f>IF(Criterios!B133="","",Criterios!B133)</f>
        <v/>
      </c>
      <c r="B631">
        <f>IF(Criterios!B133="","",Criterios!D133/100)</f>
        <v/>
      </c>
      <c r="C631">
        <f>IF(Criterios!B133="","",'Excelente')</f>
        <v/>
      </c>
      <c r="D631">
        <f>IF(Criterios!B133="","",Criterios!I133)</f>
        <v/>
      </c>
      <c r="E631">
        <f>IF(Criterios!B133="","",100)</f>
        <v/>
      </c>
      <c r="F631">
        <f>IF(Criterios!B133="","",Criterios!A133)</f>
        <v/>
      </c>
      <c r="G631">
        <f>IF(Criterios!B133="","",133)</f>
        <v/>
      </c>
    </row>
    <row r="632">
      <c r="A632">
        <f>IF(Criterios!B134="","",Criterios!B134)</f>
        <v/>
      </c>
      <c r="B632">
        <f>IF(Criterios!B134="","",Criterios!D134/100)</f>
        <v/>
      </c>
      <c r="C632">
        <f>IF(Criterios!B134="","",'Insatisfactorio')</f>
        <v/>
      </c>
      <c r="D632">
        <f>IF(Criterios!B134="","",Criterios!E134)</f>
        <v/>
      </c>
      <c r="E632">
        <f>IF(Criterios!B134="","",0)</f>
        <v/>
      </c>
      <c r="F632">
        <f>IF(Criterios!B134="","",Criterios!A134)</f>
        <v/>
      </c>
      <c r="G632">
        <f>IF(Criterios!B134="","",134)</f>
        <v/>
      </c>
    </row>
    <row r="633">
      <c r="A633">
        <f>IF(Criterios!B134="","",Criterios!B134)</f>
        <v/>
      </c>
      <c r="B633">
        <f>IF(Criterios!B134="","",Criterios!D134/100)</f>
        <v/>
      </c>
      <c r="C633">
        <f>IF(Criterios!B134="","",'Necesitas_Mejorar')</f>
        <v/>
      </c>
      <c r="D633">
        <f>IF(Criterios!B134="","",Criterios!F134)</f>
        <v/>
      </c>
      <c r="E633">
        <f>IF(Criterios!B134="","",25)</f>
        <v/>
      </c>
      <c r="F633">
        <f>IF(Criterios!B134="","",Criterios!A134)</f>
        <v/>
      </c>
      <c r="G633">
        <f>IF(Criterios!B134="","",134)</f>
        <v/>
      </c>
    </row>
    <row r="634">
      <c r="A634">
        <f>IF(Criterios!B134="","",Criterios!B134)</f>
        <v/>
      </c>
      <c r="B634">
        <f>IF(Criterios!B134="","",Criterios!D134/100)</f>
        <v/>
      </c>
      <c r="C634">
        <f>IF(Criterios!B134="","",'Bueno')</f>
        <v/>
      </c>
      <c r="D634">
        <f>IF(Criterios!B134="","",Criterios!G134)</f>
        <v/>
      </c>
      <c r="E634">
        <f>IF(Criterios!B134="","",50)</f>
        <v/>
      </c>
      <c r="F634">
        <f>IF(Criterios!B134="","",Criterios!A134)</f>
        <v/>
      </c>
      <c r="G634">
        <f>IF(Criterios!B134="","",134)</f>
        <v/>
      </c>
    </row>
    <row r="635">
      <c r="A635">
        <f>IF(Criterios!B134="","",Criterios!B134)</f>
        <v/>
      </c>
      <c r="B635">
        <f>IF(Criterios!B134="","",Criterios!D134/100)</f>
        <v/>
      </c>
      <c r="C635">
        <f>IF(Criterios!B134="","",'Satisfactorio')</f>
        <v/>
      </c>
      <c r="D635">
        <f>IF(Criterios!B134="","",Criterios!H134)</f>
        <v/>
      </c>
      <c r="E635">
        <f>IF(Criterios!B134="","",75)</f>
        <v/>
      </c>
      <c r="F635">
        <f>IF(Criterios!B134="","",Criterios!A134)</f>
        <v/>
      </c>
      <c r="G635">
        <f>IF(Criterios!B134="","",134)</f>
        <v/>
      </c>
    </row>
    <row r="636">
      <c r="A636">
        <f>IF(Criterios!B134="","",Criterios!B134)</f>
        <v/>
      </c>
      <c r="B636">
        <f>IF(Criterios!B134="","",Criterios!D134/100)</f>
        <v/>
      </c>
      <c r="C636">
        <f>IF(Criterios!B134="","",'Excelente')</f>
        <v/>
      </c>
      <c r="D636">
        <f>IF(Criterios!B134="","",Criterios!I134)</f>
        <v/>
      </c>
      <c r="E636">
        <f>IF(Criterios!B134="","",100)</f>
        <v/>
      </c>
      <c r="F636">
        <f>IF(Criterios!B134="","",Criterios!A134)</f>
        <v/>
      </c>
      <c r="G636">
        <f>IF(Criterios!B134="","",134)</f>
        <v/>
      </c>
    </row>
    <row r="637">
      <c r="A637">
        <f>IF(Criterios!B135="","",Criterios!B135)</f>
        <v/>
      </c>
      <c r="B637">
        <f>IF(Criterios!B135="","",Criterios!D135/100)</f>
        <v/>
      </c>
      <c r="C637">
        <f>IF(Criterios!B135="","",'Insatisfactorio')</f>
        <v/>
      </c>
      <c r="D637">
        <f>IF(Criterios!B135="","",Criterios!E135)</f>
        <v/>
      </c>
      <c r="E637">
        <f>IF(Criterios!B135="","",0)</f>
        <v/>
      </c>
      <c r="F637">
        <f>IF(Criterios!B135="","",Criterios!A135)</f>
        <v/>
      </c>
      <c r="G637">
        <f>IF(Criterios!B135="","",135)</f>
        <v/>
      </c>
    </row>
    <row r="638">
      <c r="A638">
        <f>IF(Criterios!B135="","",Criterios!B135)</f>
        <v/>
      </c>
      <c r="B638">
        <f>IF(Criterios!B135="","",Criterios!D135/100)</f>
        <v/>
      </c>
      <c r="C638">
        <f>IF(Criterios!B135="","",'Necesitas_Mejorar')</f>
        <v/>
      </c>
      <c r="D638">
        <f>IF(Criterios!B135="","",Criterios!F135)</f>
        <v/>
      </c>
      <c r="E638">
        <f>IF(Criterios!B135="","",25)</f>
        <v/>
      </c>
      <c r="F638">
        <f>IF(Criterios!B135="","",Criterios!A135)</f>
        <v/>
      </c>
      <c r="G638">
        <f>IF(Criterios!B135="","",135)</f>
        <v/>
      </c>
    </row>
    <row r="639">
      <c r="A639">
        <f>IF(Criterios!B135="","",Criterios!B135)</f>
        <v/>
      </c>
      <c r="B639">
        <f>IF(Criterios!B135="","",Criterios!D135/100)</f>
        <v/>
      </c>
      <c r="C639">
        <f>IF(Criterios!B135="","",'Bueno')</f>
        <v/>
      </c>
      <c r="D639">
        <f>IF(Criterios!B135="","",Criterios!G135)</f>
        <v/>
      </c>
      <c r="E639">
        <f>IF(Criterios!B135="","",50)</f>
        <v/>
      </c>
      <c r="F639">
        <f>IF(Criterios!B135="","",Criterios!A135)</f>
        <v/>
      </c>
      <c r="G639">
        <f>IF(Criterios!B135="","",135)</f>
        <v/>
      </c>
    </row>
    <row r="640">
      <c r="A640">
        <f>IF(Criterios!B135="","",Criterios!B135)</f>
        <v/>
      </c>
      <c r="B640">
        <f>IF(Criterios!B135="","",Criterios!D135/100)</f>
        <v/>
      </c>
      <c r="C640">
        <f>IF(Criterios!B135="","",'Satisfactorio')</f>
        <v/>
      </c>
      <c r="D640">
        <f>IF(Criterios!B135="","",Criterios!H135)</f>
        <v/>
      </c>
      <c r="E640">
        <f>IF(Criterios!B135="","",75)</f>
        <v/>
      </c>
      <c r="F640">
        <f>IF(Criterios!B135="","",Criterios!A135)</f>
        <v/>
      </c>
      <c r="G640">
        <f>IF(Criterios!B135="","",135)</f>
        <v/>
      </c>
    </row>
    <row r="641">
      <c r="A641">
        <f>IF(Criterios!B135="","",Criterios!B135)</f>
        <v/>
      </c>
      <c r="B641">
        <f>IF(Criterios!B135="","",Criterios!D135/100)</f>
        <v/>
      </c>
      <c r="C641">
        <f>IF(Criterios!B135="","",'Excelente')</f>
        <v/>
      </c>
      <c r="D641">
        <f>IF(Criterios!B135="","",Criterios!I135)</f>
        <v/>
      </c>
      <c r="E641">
        <f>IF(Criterios!B135="","",100)</f>
        <v/>
      </c>
      <c r="F641">
        <f>IF(Criterios!B135="","",Criterios!A135)</f>
        <v/>
      </c>
      <c r="G641">
        <f>IF(Criterios!B135="","",135)</f>
        <v/>
      </c>
    </row>
    <row r="642">
      <c r="A642">
        <f>IF(Criterios!B136="","",Criterios!B136)</f>
        <v/>
      </c>
      <c r="B642">
        <f>IF(Criterios!B136="","",Criterios!D136/100)</f>
        <v/>
      </c>
      <c r="C642">
        <f>IF(Criterios!B136="","",'Insatisfactorio')</f>
        <v/>
      </c>
      <c r="D642">
        <f>IF(Criterios!B136="","",Criterios!E136)</f>
        <v/>
      </c>
      <c r="E642">
        <f>IF(Criterios!B136="","",0)</f>
        <v/>
      </c>
      <c r="F642">
        <f>IF(Criterios!B136="","",Criterios!A136)</f>
        <v/>
      </c>
      <c r="G642">
        <f>IF(Criterios!B136="","",136)</f>
        <v/>
      </c>
    </row>
    <row r="643">
      <c r="A643">
        <f>IF(Criterios!B136="","",Criterios!B136)</f>
        <v/>
      </c>
      <c r="B643">
        <f>IF(Criterios!B136="","",Criterios!D136/100)</f>
        <v/>
      </c>
      <c r="C643">
        <f>IF(Criterios!B136="","",'Necesitas_Mejorar')</f>
        <v/>
      </c>
      <c r="D643">
        <f>IF(Criterios!B136="","",Criterios!F136)</f>
        <v/>
      </c>
      <c r="E643">
        <f>IF(Criterios!B136="","",25)</f>
        <v/>
      </c>
      <c r="F643">
        <f>IF(Criterios!B136="","",Criterios!A136)</f>
        <v/>
      </c>
      <c r="G643">
        <f>IF(Criterios!B136="","",136)</f>
        <v/>
      </c>
    </row>
    <row r="644">
      <c r="A644">
        <f>IF(Criterios!B136="","",Criterios!B136)</f>
        <v/>
      </c>
      <c r="B644">
        <f>IF(Criterios!B136="","",Criterios!D136/100)</f>
        <v/>
      </c>
      <c r="C644">
        <f>IF(Criterios!B136="","",'Bueno')</f>
        <v/>
      </c>
      <c r="D644">
        <f>IF(Criterios!B136="","",Criterios!G136)</f>
        <v/>
      </c>
      <c r="E644">
        <f>IF(Criterios!B136="","",50)</f>
        <v/>
      </c>
      <c r="F644">
        <f>IF(Criterios!B136="","",Criterios!A136)</f>
        <v/>
      </c>
      <c r="G644">
        <f>IF(Criterios!B136="","",136)</f>
        <v/>
      </c>
    </row>
    <row r="645">
      <c r="A645">
        <f>IF(Criterios!B136="","",Criterios!B136)</f>
        <v/>
      </c>
      <c r="B645">
        <f>IF(Criterios!B136="","",Criterios!D136/100)</f>
        <v/>
      </c>
      <c r="C645">
        <f>IF(Criterios!B136="","",'Satisfactorio')</f>
        <v/>
      </c>
      <c r="D645">
        <f>IF(Criterios!B136="","",Criterios!H136)</f>
        <v/>
      </c>
      <c r="E645">
        <f>IF(Criterios!B136="","",75)</f>
        <v/>
      </c>
      <c r="F645">
        <f>IF(Criterios!B136="","",Criterios!A136)</f>
        <v/>
      </c>
      <c r="G645">
        <f>IF(Criterios!B136="","",136)</f>
        <v/>
      </c>
    </row>
    <row r="646">
      <c r="A646">
        <f>IF(Criterios!B136="","",Criterios!B136)</f>
        <v/>
      </c>
      <c r="B646">
        <f>IF(Criterios!B136="","",Criterios!D136/100)</f>
        <v/>
      </c>
      <c r="C646">
        <f>IF(Criterios!B136="","",'Excelente')</f>
        <v/>
      </c>
      <c r="D646">
        <f>IF(Criterios!B136="","",Criterios!I136)</f>
        <v/>
      </c>
      <c r="E646">
        <f>IF(Criterios!B136="","",100)</f>
        <v/>
      </c>
      <c r="F646">
        <f>IF(Criterios!B136="","",Criterios!A136)</f>
        <v/>
      </c>
      <c r="G646">
        <f>IF(Criterios!B136="","",136)</f>
        <v/>
      </c>
    </row>
    <row r="647">
      <c r="A647">
        <f>IF(Criterios!B137="","",Criterios!B137)</f>
        <v/>
      </c>
      <c r="B647">
        <f>IF(Criterios!B137="","",Criterios!D137/100)</f>
        <v/>
      </c>
      <c r="C647">
        <f>IF(Criterios!B137="","",'Insatisfactorio')</f>
        <v/>
      </c>
      <c r="D647">
        <f>IF(Criterios!B137="","",Criterios!E137)</f>
        <v/>
      </c>
      <c r="E647">
        <f>IF(Criterios!B137="","",0)</f>
        <v/>
      </c>
      <c r="F647">
        <f>IF(Criterios!B137="","",Criterios!A137)</f>
        <v/>
      </c>
      <c r="G647">
        <f>IF(Criterios!B137="","",137)</f>
        <v/>
      </c>
    </row>
    <row r="648">
      <c r="A648">
        <f>IF(Criterios!B137="","",Criterios!B137)</f>
        <v/>
      </c>
      <c r="B648">
        <f>IF(Criterios!B137="","",Criterios!D137/100)</f>
        <v/>
      </c>
      <c r="C648">
        <f>IF(Criterios!B137="","",'Necesitas_Mejorar')</f>
        <v/>
      </c>
      <c r="D648">
        <f>IF(Criterios!B137="","",Criterios!F137)</f>
        <v/>
      </c>
      <c r="E648">
        <f>IF(Criterios!B137="","",25)</f>
        <v/>
      </c>
      <c r="F648">
        <f>IF(Criterios!B137="","",Criterios!A137)</f>
        <v/>
      </c>
      <c r="G648">
        <f>IF(Criterios!B137="","",137)</f>
        <v/>
      </c>
    </row>
    <row r="649">
      <c r="A649">
        <f>IF(Criterios!B137="","",Criterios!B137)</f>
        <v/>
      </c>
      <c r="B649">
        <f>IF(Criterios!B137="","",Criterios!D137/100)</f>
        <v/>
      </c>
      <c r="C649">
        <f>IF(Criterios!B137="","",'Bueno')</f>
        <v/>
      </c>
      <c r="D649">
        <f>IF(Criterios!B137="","",Criterios!G137)</f>
        <v/>
      </c>
      <c r="E649">
        <f>IF(Criterios!B137="","",50)</f>
        <v/>
      </c>
      <c r="F649">
        <f>IF(Criterios!B137="","",Criterios!A137)</f>
        <v/>
      </c>
      <c r="G649">
        <f>IF(Criterios!B137="","",137)</f>
        <v/>
      </c>
    </row>
    <row r="650">
      <c r="A650">
        <f>IF(Criterios!B137="","",Criterios!B137)</f>
        <v/>
      </c>
      <c r="B650">
        <f>IF(Criterios!B137="","",Criterios!D137/100)</f>
        <v/>
      </c>
      <c r="C650">
        <f>IF(Criterios!B137="","",'Satisfactorio')</f>
        <v/>
      </c>
      <c r="D650">
        <f>IF(Criterios!B137="","",Criterios!H137)</f>
        <v/>
      </c>
      <c r="E650">
        <f>IF(Criterios!B137="","",75)</f>
        <v/>
      </c>
      <c r="F650">
        <f>IF(Criterios!B137="","",Criterios!A137)</f>
        <v/>
      </c>
      <c r="G650">
        <f>IF(Criterios!B137="","",137)</f>
        <v/>
      </c>
    </row>
    <row r="651">
      <c r="A651">
        <f>IF(Criterios!B137="","",Criterios!B137)</f>
        <v/>
      </c>
      <c r="B651">
        <f>IF(Criterios!B137="","",Criterios!D137/100)</f>
        <v/>
      </c>
      <c r="C651">
        <f>IF(Criterios!B137="","",'Excelente')</f>
        <v/>
      </c>
      <c r="D651">
        <f>IF(Criterios!B137="","",Criterios!I137)</f>
        <v/>
      </c>
      <c r="E651">
        <f>IF(Criterios!B137="","",100)</f>
        <v/>
      </c>
      <c r="F651">
        <f>IF(Criterios!B137="","",Criterios!A137)</f>
        <v/>
      </c>
      <c r="G651">
        <f>IF(Criterios!B137="","",137)</f>
        <v/>
      </c>
    </row>
    <row r="652">
      <c r="A652">
        <f>IF(Criterios!B138="","",Criterios!B138)</f>
        <v/>
      </c>
      <c r="B652">
        <f>IF(Criterios!B138="","",Criterios!D138/100)</f>
        <v/>
      </c>
      <c r="C652">
        <f>IF(Criterios!B138="","",'Insatisfactorio')</f>
        <v/>
      </c>
      <c r="D652">
        <f>IF(Criterios!B138="","",Criterios!E138)</f>
        <v/>
      </c>
      <c r="E652">
        <f>IF(Criterios!B138="","",0)</f>
        <v/>
      </c>
      <c r="F652">
        <f>IF(Criterios!B138="","",Criterios!A138)</f>
        <v/>
      </c>
      <c r="G652">
        <f>IF(Criterios!B138="","",138)</f>
        <v/>
      </c>
    </row>
    <row r="653">
      <c r="A653">
        <f>IF(Criterios!B138="","",Criterios!B138)</f>
        <v/>
      </c>
      <c r="B653">
        <f>IF(Criterios!B138="","",Criterios!D138/100)</f>
        <v/>
      </c>
      <c r="C653">
        <f>IF(Criterios!B138="","",'Necesitas_Mejorar')</f>
        <v/>
      </c>
      <c r="D653">
        <f>IF(Criterios!B138="","",Criterios!F138)</f>
        <v/>
      </c>
      <c r="E653">
        <f>IF(Criterios!B138="","",25)</f>
        <v/>
      </c>
      <c r="F653">
        <f>IF(Criterios!B138="","",Criterios!A138)</f>
        <v/>
      </c>
      <c r="G653">
        <f>IF(Criterios!B138="","",138)</f>
        <v/>
      </c>
    </row>
    <row r="654">
      <c r="A654">
        <f>IF(Criterios!B138="","",Criterios!B138)</f>
        <v/>
      </c>
      <c r="B654">
        <f>IF(Criterios!B138="","",Criterios!D138/100)</f>
        <v/>
      </c>
      <c r="C654">
        <f>IF(Criterios!B138="","",'Bueno')</f>
        <v/>
      </c>
      <c r="D654">
        <f>IF(Criterios!B138="","",Criterios!G138)</f>
        <v/>
      </c>
      <c r="E654">
        <f>IF(Criterios!B138="","",50)</f>
        <v/>
      </c>
      <c r="F654">
        <f>IF(Criterios!B138="","",Criterios!A138)</f>
        <v/>
      </c>
      <c r="G654">
        <f>IF(Criterios!B138="","",138)</f>
        <v/>
      </c>
    </row>
    <row r="655">
      <c r="A655">
        <f>IF(Criterios!B138="","",Criterios!B138)</f>
        <v/>
      </c>
      <c r="B655">
        <f>IF(Criterios!B138="","",Criterios!D138/100)</f>
        <v/>
      </c>
      <c r="C655">
        <f>IF(Criterios!B138="","",'Satisfactorio')</f>
        <v/>
      </c>
      <c r="D655">
        <f>IF(Criterios!B138="","",Criterios!H138)</f>
        <v/>
      </c>
      <c r="E655">
        <f>IF(Criterios!B138="","",75)</f>
        <v/>
      </c>
      <c r="F655">
        <f>IF(Criterios!B138="","",Criterios!A138)</f>
        <v/>
      </c>
      <c r="G655">
        <f>IF(Criterios!B138="","",138)</f>
        <v/>
      </c>
    </row>
    <row r="656">
      <c r="A656">
        <f>IF(Criterios!B138="","",Criterios!B138)</f>
        <v/>
      </c>
      <c r="B656">
        <f>IF(Criterios!B138="","",Criterios!D138/100)</f>
        <v/>
      </c>
      <c r="C656">
        <f>IF(Criterios!B138="","",'Excelente')</f>
        <v/>
      </c>
      <c r="D656">
        <f>IF(Criterios!B138="","",Criterios!I138)</f>
        <v/>
      </c>
      <c r="E656">
        <f>IF(Criterios!B138="","",100)</f>
        <v/>
      </c>
      <c r="F656">
        <f>IF(Criterios!B138="","",Criterios!A138)</f>
        <v/>
      </c>
      <c r="G656">
        <f>IF(Criterios!B138="","",138)</f>
        <v/>
      </c>
    </row>
    <row r="657">
      <c r="A657">
        <f>IF(Criterios!B139="","",Criterios!B139)</f>
        <v/>
      </c>
      <c r="B657">
        <f>IF(Criterios!B139="","",Criterios!D139/100)</f>
        <v/>
      </c>
      <c r="C657">
        <f>IF(Criterios!B139="","",'Insatisfactorio')</f>
        <v/>
      </c>
      <c r="D657">
        <f>IF(Criterios!B139="","",Criterios!E139)</f>
        <v/>
      </c>
      <c r="E657">
        <f>IF(Criterios!B139="","",0)</f>
        <v/>
      </c>
      <c r="F657">
        <f>IF(Criterios!B139="","",Criterios!A139)</f>
        <v/>
      </c>
      <c r="G657">
        <f>IF(Criterios!B139="","",139)</f>
        <v/>
      </c>
    </row>
    <row r="658">
      <c r="A658">
        <f>IF(Criterios!B139="","",Criterios!B139)</f>
        <v/>
      </c>
      <c r="B658">
        <f>IF(Criterios!B139="","",Criterios!D139/100)</f>
        <v/>
      </c>
      <c r="C658">
        <f>IF(Criterios!B139="","",'Necesitas_Mejorar')</f>
        <v/>
      </c>
      <c r="D658">
        <f>IF(Criterios!B139="","",Criterios!F139)</f>
        <v/>
      </c>
      <c r="E658">
        <f>IF(Criterios!B139="","",25)</f>
        <v/>
      </c>
      <c r="F658">
        <f>IF(Criterios!B139="","",Criterios!A139)</f>
        <v/>
      </c>
      <c r="G658">
        <f>IF(Criterios!B139="","",139)</f>
        <v/>
      </c>
    </row>
    <row r="659">
      <c r="A659">
        <f>IF(Criterios!B139="","",Criterios!B139)</f>
        <v/>
      </c>
      <c r="B659">
        <f>IF(Criterios!B139="","",Criterios!D139/100)</f>
        <v/>
      </c>
      <c r="C659">
        <f>IF(Criterios!B139="","",'Bueno')</f>
        <v/>
      </c>
      <c r="D659">
        <f>IF(Criterios!B139="","",Criterios!G139)</f>
        <v/>
      </c>
      <c r="E659">
        <f>IF(Criterios!B139="","",50)</f>
        <v/>
      </c>
      <c r="F659">
        <f>IF(Criterios!B139="","",Criterios!A139)</f>
        <v/>
      </c>
      <c r="G659">
        <f>IF(Criterios!B139="","",139)</f>
        <v/>
      </c>
    </row>
    <row r="660">
      <c r="A660">
        <f>IF(Criterios!B139="","",Criterios!B139)</f>
        <v/>
      </c>
      <c r="B660">
        <f>IF(Criterios!B139="","",Criterios!D139/100)</f>
        <v/>
      </c>
      <c r="C660">
        <f>IF(Criterios!B139="","",'Satisfactorio')</f>
        <v/>
      </c>
      <c r="D660">
        <f>IF(Criterios!B139="","",Criterios!H139)</f>
        <v/>
      </c>
      <c r="E660">
        <f>IF(Criterios!B139="","",75)</f>
        <v/>
      </c>
      <c r="F660">
        <f>IF(Criterios!B139="","",Criterios!A139)</f>
        <v/>
      </c>
      <c r="G660">
        <f>IF(Criterios!B139="","",139)</f>
        <v/>
      </c>
    </row>
    <row r="661">
      <c r="A661">
        <f>IF(Criterios!B139="","",Criterios!B139)</f>
        <v/>
      </c>
      <c r="B661">
        <f>IF(Criterios!B139="","",Criterios!D139/100)</f>
        <v/>
      </c>
      <c r="C661">
        <f>IF(Criterios!B139="","",'Excelente')</f>
        <v/>
      </c>
      <c r="D661">
        <f>IF(Criterios!B139="","",Criterios!I139)</f>
        <v/>
      </c>
      <c r="E661">
        <f>IF(Criterios!B139="","",100)</f>
        <v/>
      </c>
      <c r="F661">
        <f>IF(Criterios!B139="","",Criterios!A139)</f>
        <v/>
      </c>
      <c r="G661">
        <f>IF(Criterios!B139="","",139)</f>
        <v/>
      </c>
    </row>
    <row r="662">
      <c r="A662">
        <f>IF(Criterios!B140="","",Criterios!B140)</f>
        <v/>
      </c>
      <c r="B662">
        <f>IF(Criterios!B140="","",Criterios!D140/100)</f>
        <v/>
      </c>
      <c r="C662">
        <f>IF(Criterios!B140="","",'Insatisfactorio')</f>
        <v/>
      </c>
      <c r="D662">
        <f>IF(Criterios!B140="","",Criterios!E140)</f>
        <v/>
      </c>
      <c r="E662">
        <f>IF(Criterios!B140="","",0)</f>
        <v/>
      </c>
      <c r="F662">
        <f>IF(Criterios!B140="","",Criterios!A140)</f>
        <v/>
      </c>
      <c r="G662">
        <f>IF(Criterios!B140="","",140)</f>
        <v/>
      </c>
    </row>
    <row r="663">
      <c r="A663">
        <f>IF(Criterios!B140="","",Criterios!B140)</f>
        <v/>
      </c>
      <c r="B663">
        <f>IF(Criterios!B140="","",Criterios!D140/100)</f>
        <v/>
      </c>
      <c r="C663">
        <f>IF(Criterios!B140="","",'Necesitas_Mejorar')</f>
        <v/>
      </c>
      <c r="D663">
        <f>IF(Criterios!B140="","",Criterios!F140)</f>
        <v/>
      </c>
      <c r="E663">
        <f>IF(Criterios!B140="","",25)</f>
        <v/>
      </c>
      <c r="F663">
        <f>IF(Criterios!B140="","",Criterios!A140)</f>
        <v/>
      </c>
      <c r="G663">
        <f>IF(Criterios!B140="","",140)</f>
        <v/>
      </c>
    </row>
    <row r="664">
      <c r="A664">
        <f>IF(Criterios!B140="","",Criterios!B140)</f>
        <v/>
      </c>
      <c r="B664">
        <f>IF(Criterios!B140="","",Criterios!D140/100)</f>
        <v/>
      </c>
      <c r="C664">
        <f>IF(Criterios!B140="","",'Bueno')</f>
        <v/>
      </c>
      <c r="D664">
        <f>IF(Criterios!B140="","",Criterios!G140)</f>
        <v/>
      </c>
      <c r="E664">
        <f>IF(Criterios!B140="","",50)</f>
        <v/>
      </c>
      <c r="F664">
        <f>IF(Criterios!B140="","",Criterios!A140)</f>
        <v/>
      </c>
      <c r="G664">
        <f>IF(Criterios!B140="","",140)</f>
        <v/>
      </c>
    </row>
    <row r="665">
      <c r="A665">
        <f>IF(Criterios!B140="","",Criterios!B140)</f>
        <v/>
      </c>
      <c r="B665">
        <f>IF(Criterios!B140="","",Criterios!D140/100)</f>
        <v/>
      </c>
      <c r="C665">
        <f>IF(Criterios!B140="","",'Satisfactorio')</f>
        <v/>
      </c>
      <c r="D665">
        <f>IF(Criterios!B140="","",Criterios!H140)</f>
        <v/>
      </c>
      <c r="E665">
        <f>IF(Criterios!B140="","",75)</f>
        <v/>
      </c>
      <c r="F665">
        <f>IF(Criterios!B140="","",Criterios!A140)</f>
        <v/>
      </c>
      <c r="G665">
        <f>IF(Criterios!B140="","",140)</f>
        <v/>
      </c>
    </row>
    <row r="666">
      <c r="A666">
        <f>IF(Criterios!B140="","",Criterios!B140)</f>
        <v/>
      </c>
      <c r="B666">
        <f>IF(Criterios!B140="","",Criterios!D140/100)</f>
        <v/>
      </c>
      <c r="C666">
        <f>IF(Criterios!B140="","",'Excelente')</f>
        <v/>
      </c>
      <c r="D666">
        <f>IF(Criterios!B140="","",Criterios!I140)</f>
        <v/>
      </c>
      <c r="E666">
        <f>IF(Criterios!B140="","",100)</f>
        <v/>
      </c>
      <c r="F666">
        <f>IF(Criterios!B140="","",Criterios!A140)</f>
        <v/>
      </c>
      <c r="G666">
        <f>IF(Criterios!B140="","",140)</f>
        <v/>
      </c>
    </row>
    <row r="667">
      <c r="A667">
        <f>IF(Criterios!B141="","",Criterios!B141)</f>
        <v/>
      </c>
      <c r="B667">
        <f>IF(Criterios!B141="","",Criterios!D141/100)</f>
        <v/>
      </c>
      <c r="C667">
        <f>IF(Criterios!B141="","",'Insatisfactorio')</f>
        <v/>
      </c>
      <c r="D667">
        <f>IF(Criterios!B141="","",Criterios!E141)</f>
        <v/>
      </c>
      <c r="E667">
        <f>IF(Criterios!B141="","",0)</f>
        <v/>
      </c>
      <c r="F667">
        <f>IF(Criterios!B141="","",Criterios!A141)</f>
        <v/>
      </c>
      <c r="G667">
        <f>IF(Criterios!B141="","",141)</f>
        <v/>
      </c>
    </row>
    <row r="668">
      <c r="A668">
        <f>IF(Criterios!B141="","",Criterios!B141)</f>
        <v/>
      </c>
      <c r="B668">
        <f>IF(Criterios!B141="","",Criterios!D141/100)</f>
        <v/>
      </c>
      <c r="C668">
        <f>IF(Criterios!B141="","",'Necesitas_Mejorar')</f>
        <v/>
      </c>
      <c r="D668">
        <f>IF(Criterios!B141="","",Criterios!F141)</f>
        <v/>
      </c>
      <c r="E668">
        <f>IF(Criterios!B141="","",25)</f>
        <v/>
      </c>
      <c r="F668">
        <f>IF(Criterios!B141="","",Criterios!A141)</f>
        <v/>
      </c>
      <c r="G668">
        <f>IF(Criterios!B141="","",141)</f>
        <v/>
      </c>
    </row>
    <row r="669">
      <c r="A669">
        <f>IF(Criterios!B141="","",Criterios!B141)</f>
        <v/>
      </c>
      <c r="B669">
        <f>IF(Criterios!B141="","",Criterios!D141/100)</f>
        <v/>
      </c>
      <c r="C669">
        <f>IF(Criterios!B141="","",'Bueno')</f>
        <v/>
      </c>
      <c r="D669">
        <f>IF(Criterios!B141="","",Criterios!G141)</f>
        <v/>
      </c>
      <c r="E669">
        <f>IF(Criterios!B141="","",50)</f>
        <v/>
      </c>
      <c r="F669">
        <f>IF(Criterios!B141="","",Criterios!A141)</f>
        <v/>
      </c>
      <c r="G669">
        <f>IF(Criterios!B141="","",141)</f>
        <v/>
      </c>
    </row>
    <row r="670">
      <c r="A670">
        <f>IF(Criterios!B141="","",Criterios!B141)</f>
        <v/>
      </c>
      <c r="B670">
        <f>IF(Criterios!B141="","",Criterios!D141/100)</f>
        <v/>
      </c>
      <c r="C670">
        <f>IF(Criterios!B141="","",'Satisfactorio')</f>
        <v/>
      </c>
      <c r="D670">
        <f>IF(Criterios!B141="","",Criterios!H141)</f>
        <v/>
      </c>
      <c r="E670">
        <f>IF(Criterios!B141="","",75)</f>
        <v/>
      </c>
      <c r="F670">
        <f>IF(Criterios!B141="","",Criterios!A141)</f>
        <v/>
      </c>
      <c r="G670">
        <f>IF(Criterios!B141="","",141)</f>
        <v/>
      </c>
    </row>
    <row r="671">
      <c r="A671">
        <f>IF(Criterios!B141="","",Criterios!B141)</f>
        <v/>
      </c>
      <c r="B671">
        <f>IF(Criterios!B141="","",Criterios!D141/100)</f>
        <v/>
      </c>
      <c r="C671">
        <f>IF(Criterios!B141="","",'Excelente')</f>
        <v/>
      </c>
      <c r="D671">
        <f>IF(Criterios!B141="","",Criterios!I141)</f>
        <v/>
      </c>
      <c r="E671">
        <f>IF(Criterios!B141="","",100)</f>
        <v/>
      </c>
      <c r="F671">
        <f>IF(Criterios!B141="","",Criterios!A141)</f>
        <v/>
      </c>
      <c r="G671">
        <f>IF(Criterios!B141="","",141)</f>
        <v/>
      </c>
    </row>
    <row r="672">
      <c r="A672">
        <f>IF(Criterios!B142="","",Criterios!B142)</f>
        <v/>
      </c>
      <c r="B672">
        <f>IF(Criterios!B142="","",Criterios!D142/100)</f>
        <v/>
      </c>
      <c r="C672">
        <f>IF(Criterios!B142="","",'Insatisfactorio')</f>
        <v/>
      </c>
      <c r="D672">
        <f>IF(Criterios!B142="","",Criterios!E142)</f>
        <v/>
      </c>
      <c r="E672">
        <f>IF(Criterios!B142="","",0)</f>
        <v/>
      </c>
      <c r="F672">
        <f>IF(Criterios!B142="","",Criterios!A142)</f>
        <v/>
      </c>
      <c r="G672">
        <f>IF(Criterios!B142="","",142)</f>
        <v/>
      </c>
    </row>
    <row r="673">
      <c r="A673">
        <f>IF(Criterios!B142="","",Criterios!B142)</f>
        <v/>
      </c>
      <c r="B673">
        <f>IF(Criterios!B142="","",Criterios!D142/100)</f>
        <v/>
      </c>
      <c r="C673">
        <f>IF(Criterios!B142="","",'Necesitas_Mejorar')</f>
        <v/>
      </c>
      <c r="D673">
        <f>IF(Criterios!B142="","",Criterios!F142)</f>
        <v/>
      </c>
      <c r="E673">
        <f>IF(Criterios!B142="","",25)</f>
        <v/>
      </c>
      <c r="F673">
        <f>IF(Criterios!B142="","",Criterios!A142)</f>
        <v/>
      </c>
      <c r="G673">
        <f>IF(Criterios!B142="","",142)</f>
        <v/>
      </c>
    </row>
    <row r="674">
      <c r="A674">
        <f>IF(Criterios!B142="","",Criterios!B142)</f>
        <v/>
      </c>
      <c r="B674">
        <f>IF(Criterios!B142="","",Criterios!D142/100)</f>
        <v/>
      </c>
      <c r="C674">
        <f>IF(Criterios!B142="","",'Bueno')</f>
        <v/>
      </c>
      <c r="D674">
        <f>IF(Criterios!B142="","",Criterios!G142)</f>
        <v/>
      </c>
      <c r="E674">
        <f>IF(Criterios!B142="","",50)</f>
        <v/>
      </c>
      <c r="F674">
        <f>IF(Criterios!B142="","",Criterios!A142)</f>
        <v/>
      </c>
      <c r="G674">
        <f>IF(Criterios!B142="","",142)</f>
        <v/>
      </c>
    </row>
    <row r="675">
      <c r="A675">
        <f>IF(Criterios!B142="","",Criterios!B142)</f>
        <v/>
      </c>
      <c r="B675">
        <f>IF(Criterios!B142="","",Criterios!D142/100)</f>
        <v/>
      </c>
      <c r="C675">
        <f>IF(Criterios!B142="","",'Satisfactorio')</f>
        <v/>
      </c>
      <c r="D675">
        <f>IF(Criterios!B142="","",Criterios!H142)</f>
        <v/>
      </c>
      <c r="E675">
        <f>IF(Criterios!B142="","",75)</f>
        <v/>
      </c>
      <c r="F675">
        <f>IF(Criterios!B142="","",Criterios!A142)</f>
        <v/>
      </c>
      <c r="G675">
        <f>IF(Criterios!B142="","",142)</f>
        <v/>
      </c>
    </row>
    <row r="676">
      <c r="A676">
        <f>IF(Criterios!B142="","",Criterios!B142)</f>
        <v/>
      </c>
      <c r="B676">
        <f>IF(Criterios!B142="","",Criterios!D142/100)</f>
        <v/>
      </c>
      <c r="C676">
        <f>IF(Criterios!B142="","",'Excelente')</f>
        <v/>
      </c>
      <c r="D676">
        <f>IF(Criterios!B142="","",Criterios!I142)</f>
        <v/>
      </c>
      <c r="E676">
        <f>IF(Criterios!B142="","",100)</f>
        <v/>
      </c>
      <c r="F676">
        <f>IF(Criterios!B142="","",Criterios!A142)</f>
        <v/>
      </c>
      <c r="G676">
        <f>IF(Criterios!B142="","",142)</f>
        <v/>
      </c>
    </row>
    <row r="677">
      <c r="A677">
        <f>IF(Criterios!B143="","",Criterios!B143)</f>
        <v/>
      </c>
      <c r="B677">
        <f>IF(Criterios!B143="","",Criterios!D143/100)</f>
        <v/>
      </c>
      <c r="C677">
        <f>IF(Criterios!B143="","",'Insatisfactorio')</f>
        <v/>
      </c>
      <c r="D677">
        <f>IF(Criterios!B143="","",Criterios!E143)</f>
        <v/>
      </c>
      <c r="E677">
        <f>IF(Criterios!B143="","",0)</f>
        <v/>
      </c>
      <c r="F677">
        <f>IF(Criterios!B143="","",Criterios!A143)</f>
        <v/>
      </c>
      <c r="G677">
        <f>IF(Criterios!B143="","",143)</f>
        <v/>
      </c>
    </row>
    <row r="678">
      <c r="A678">
        <f>IF(Criterios!B143="","",Criterios!B143)</f>
        <v/>
      </c>
      <c r="B678">
        <f>IF(Criterios!B143="","",Criterios!D143/100)</f>
        <v/>
      </c>
      <c r="C678">
        <f>IF(Criterios!B143="","",'Necesitas_Mejorar')</f>
        <v/>
      </c>
      <c r="D678">
        <f>IF(Criterios!B143="","",Criterios!F143)</f>
        <v/>
      </c>
      <c r="E678">
        <f>IF(Criterios!B143="","",25)</f>
        <v/>
      </c>
      <c r="F678">
        <f>IF(Criterios!B143="","",Criterios!A143)</f>
        <v/>
      </c>
      <c r="G678">
        <f>IF(Criterios!B143="","",143)</f>
        <v/>
      </c>
    </row>
    <row r="679">
      <c r="A679">
        <f>IF(Criterios!B143="","",Criterios!B143)</f>
        <v/>
      </c>
      <c r="B679">
        <f>IF(Criterios!B143="","",Criterios!D143/100)</f>
        <v/>
      </c>
      <c r="C679">
        <f>IF(Criterios!B143="","",'Bueno')</f>
        <v/>
      </c>
      <c r="D679">
        <f>IF(Criterios!B143="","",Criterios!G143)</f>
        <v/>
      </c>
      <c r="E679">
        <f>IF(Criterios!B143="","",50)</f>
        <v/>
      </c>
      <c r="F679">
        <f>IF(Criterios!B143="","",Criterios!A143)</f>
        <v/>
      </c>
      <c r="G679">
        <f>IF(Criterios!B143="","",143)</f>
        <v/>
      </c>
    </row>
    <row r="680">
      <c r="A680">
        <f>IF(Criterios!B143="","",Criterios!B143)</f>
        <v/>
      </c>
      <c r="B680">
        <f>IF(Criterios!B143="","",Criterios!D143/100)</f>
        <v/>
      </c>
      <c r="C680">
        <f>IF(Criterios!B143="","",'Satisfactorio')</f>
        <v/>
      </c>
      <c r="D680">
        <f>IF(Criterios!B143="","",Criterios!H143)</f>
        <v/>
      </c>
      <c r="E680">
        <f>IF(Criterios!B143="","",75)</f>
        <v/>
      </c>
      <c r="F680">
        <f>IF(Criterios!B143="","",Criterios!A143)</f>
        <v/>
      </c>
      <c r="G680">
        <f>IF(Criterios!B143="","",143)</f>
        <v/>
      </c>
    </row>
    <row r="681">
      <c r="A681">
        <f>IF(Criterios!B143="","",Criterios!B143)</f>
        <v/>
      </c>
      <c r="B681">
        <f>IF(Criterios!B143="","",Criterios!D143/100)</f>
        <v/>
      </c>
      <c r="C681">
        <f>IF(Criterios!B143="","",'Excelente')</f>
        <v/>
      </c>
      <c r="D681">
        <f>IF(Criterios!B143="","",Criterios!I143)</f>
        <v/>
      </c>
      <c r="E681">
        <f>IF(Criterios!B143="","",100)</f>
        <v/>
      </c>
      <c r="F681">
        <f>IF(Criterios!B143="","",Criterios!A143)</f>
        <v/>
      </c>
      <c r="G681">
        <f>IF(Criterios!B143="","",143)</f>
        <v/>
      </c>
    </row>
    <row r="682">
      <c r="A682">
        <f>IF(Criterios!B144="","",Criterios!B144)</f>
        <v/>
      </c>
      <c r="B682">
        <f>IF(Criterios!B144="","",Criterios!D144/100)</f>
        <v/>
      </c>
      <c r="C682">
        <f>IF(Criterios!B144="","",'Insatisfactorio')</f>
        <v/>
      </c>
      <c r="D682">
        <f>IF(Criterios!B144="","",Criterios!E144)</f>
        <v/>
      </c>
      <c r="E682">
        <f>IF(Criterios!B144="","",0)</f>
        <v/>
      </c>
      <c r="F682">
        <f>IF(Criterios!B144="","",Criterios!A144)</f>
        <v/>
      </c>
      <c r="G682">
        <f>IF(Criterios!B144="","",144)</f>
        <v/>
      </c>
    </row>
    <row r="683">
      <c r="A683">
        <f>IF(Criterios!B144="","",Criterios!B144)</f>
        <v/>
      </c>
      <c r="B683">
        <f>IF(Criterios!B144="","",Criterios!D144/100)</f>
        <v/>
      </c>
      <c r="C683">
        <f>IF(Criterios!B144="","",'Necesitas_Mejorar')</f>
        <v/>
      </c>
      <c r="D683">
        <f>IF(Criterios!B144="","",Criterios!F144)</f>
        <v/>
      </c>
      <c r="E683">
        <f>IF(Criterios!B144="","",25)</f>
        <v/>
      </c>
      <c r="F683">
        <f>IF(Criterios!B144="","",Criterios!A144)</f>
        <v/>
      </c>
      <c r="G683">
        <f>IF(Criterios!B144="","",144)</f>
        <v/>
      </c>
    </row>
    <row r="684">
      <c r="A684">
        <f>IF(Criterios!B144="","",Criterios!B144)</f>
        <v/>
      </c>
      <c r="B684">
        <f>IF(Criterios!B144="","",Criterios!D144/100)</f>
        <v/>
      </c>
      <c r="C684">
        <f>IF(Criterios!B144="","",'Bueno')</f>
        <v/>
      </c>
      <c r="D684">
        <f>IF(Criterios!B144="","",Criterios!G144)</f>
        <v/>
      </c>
      <c r="E684">
        <f>IF(Criterios!B144="","",50)</f>
        <v/>
      </c>
      <c r="F684">
        <f>IF(Criterios!B144="","",Criterios!A144)</f>
        <v/>
      </c>
      <c r="G684">
        <f>IF(Criterios!B144="","",144)</f>
        <v/>
      </c>
    </row>
    <row r="685">
      <c r="A685">
        <f>IF(Criterios!B144="","",Criterios!B144)</f>
        <v/>
      </c>
      <c r="B685">
        <f>IF(Criterios!B144="","",Criterios!D144/100)</f>
        <v/>
      </c>
      <c r="C685">
        <f>IF(Criterios!B144="","",'Satisfactorio')</f>
        <v/>
      </c>
      <c r="D685">
        <f>IF(Criterios!B144="","",Criterios!H144)</f>
        <v/>
      </c>
      <c r="E685">
        <f>IF(Criterios!B144="","",75)</f>
        <v/>
      </c>
      <c r="F685">
        <f>IF(Criterios!B144="","",Criterios!A144)</f>
        <v/>
      </c>
      <c r="G685">
        <f>IF(Criterios!B144="","",144)</f>
        <v/>
      </c>
    </row>
    <row r="686">
      <c r="A686">
        <f>IF(Criterios!B144="","",Criterios!B144)</f>
        <v/>
      </c>
      <c r="B686">
        <f>IF(Criterios!B144="","",Criterios!D144/100)</f>
        <v/>
      </c>
      <c r="C686">
        <f>IF(Criterios!B144="","",'Excelente')</f>
        <v/>
      </c>
      <c r="D686">
        <f>IF(Criterios!B144="","",Criterios!I144)</f>
        <v/>
      </c>
      <c r="E686">
        <f>IF(Criterios!B144="","",100)</f>
        <v/>
      </c>
      <c r="F686">
        <f>IF(Criterios!B144="","",Criterios!A144)</f>
        <v/>
      </c>
      <c r="G686">
        <f>IF(Criterios!B144="","",144)</f>
        <v/>
      </c>
    </row>
    <row r="687">
      <c r="A687">
        <f>IF(Criterios!B145="","",Criterios!B145)</f>
        <v/>
      </c>
      <c r="B687">
        <f>IF(Criterios!B145="","",Criterios!D145/100)</f>
        <v/>
      </c>
      <c r="C687">
        <f>IF(Criterios!B145="","",'Insatisfactorio')</f>
        <v/>
      </c>
      <c r="D687">
        <f>IF(Criterios!B145="","",Criterios!E145)</f>
        <v/>
      </c>
      <c r="E687">
        <f>IF(Criterios!B145="","",0)</f>
        <v/>
      </c>
      <c r="F687">
        <f>IF(Criterios!B145="","",Criterios!A145)</f>
        <v/>
      </c>
      <c r="G687">
        <f>IF(Criterios!B145="","",145)</f>
        <v/>
      </c>
    </row>
    <row r="688">
      <c r="A688">
        <f>IF(Criterios!B145="","",Criterios!B145)</f>
        <v/>
      </c>
      <c r="B688">
        <f>IF(Criterios!B145="","",Criterios!D145/100)</f>
        <v/>
      </c>
      <c r="C688">
        <f>IF(Criterios!B145="","",'Necesitas_Mejorar')</f>
        <v/>
      </c>
      <c r="D688">
        <f>IF(Criterios!B145="","",Criterios!F145)</f>
        <v/>
      </c>
      <c r="E688">
        <f>IF(Criterios!B145="","",25)</f>
        <v/>
      </c>
      <c r="F688">
        <f>IF(Criterios!B145="","",Criterios!A145)</f>
        <v/>
      </c>
      <c r="G688">
        <f>IF(Criterios!B145="","",145)</f>
        <v/>
      </c>
    </row>
    <row r="689">
      <c r="A689">
        <f>IF(Criterios!B145="","",Criterios!B145)</f>
        <v/>
      </c>
      <c r="B689">
        <f>IF(Criterios!B145="","",Criterios!D145/100)</f>
        <v/>
      </c>
      <c r="C689">
        <f>IF(Criterios!B145="","",'Bueno')</f>
        <v/>
      </c>
      <c r="D689">
        <f>IF(Criterios!B145="","",Criterios!G145)</f>
        <v/>
      </c>
      <c r="E689">
        <f>IF(Criterios!B145="","",50)</f>
        <v/>
      </c>
      <c r="F689">
        <f>IF(Criterios!B145="","",Criterios!A145)</f>
        <v/>
      </c>
      <c r="G689">
        <f>IF(Criterios!B145="","",145)</f>
        <v/>
      </c>
    </row>
    <row r="690">
      <c r="A690">
        <f>IF(Criterios!B145="","",Criterios!B145)</f>
        <v/>
      </c>
      <c r="B690">
        <f>IF(Criterios!B145="","",Criterios!D145/100)</f>
        <v/>
      </c>
      <c r="C690">
        <f>IF(Criterios!B145="","",'Satisfactorio')</f>
        <v/>
      </c>
      <c r="D690">
        <f>IF(Criterios!B145="","",Criterios!H145)</f>
        <v/>
      </c>
      <c r="E690">
        <f>IF(Criterios!B145="","",75)</f>
        <v/>
      </c>
      <c r="F690">
        <f>IF(Criterios!B145="","",Criterios!A145)</f>
        <v/>
      </c>
      <c r="G690">
        <f>IF(Criterios!B145="","",145)</f>
        <v/>
      </c>
    </row>
    <row r="691">
      <c r="A691">
        <f>IF(Criterios!B145="","",Criterios!B145)</f>
        <v/>
      </c>
      <c r="B691">
        <f>IF(Criterios!B145="","",Criterios!D145/100)</f>
        <v/>
      </c>
      <c r="C691">
        <f>IF(Criterios!B145="","",'Excelente')</f>
        <v/>
      </c>
      <c r="D691">
        <f>IF(Criterios!B145="","",Criterios!I145)</f>
        <v/>
      </c>
      <c r="E691">
        <f>IF(Criterios!B145="","",100)</f>
        <v/>
      </c>
      <c r="F691">
        <f>IF(Criterios!B145="","",Criterios!A145)</f>
        <v/>
      </c>
      <c r="G691">
        <f>IF(Criterios!B145="","",145)</f>
        <v/>
      </c>
    </row>
    <row r="692">
      <c r="A692">
        <f>IF(Criterios!B146="","",Criterios!B146)</f>
        <v/>
      </c>
      <c r="B692">
        <f>IF(Criterios!B146="","",Criterios!D146/100)</f>
        <v/>
      </c>
      <c r="C692">
        <f>IF(Criterios!B146="","",'Insatisfactorio')</f>
        <v/>
      </c>
      <c r="D692">
        <f>IF(Criterios!B146="","",Criterios!E146)</f>
        <v/>
      </c>
      <c r="E692">
        <f>IF(Criterios!B146="","",0)</f>
        <v/>
      </c>
      <c r="F692">
        <f>IF(Criterios!B146="","",Criterios!A146)</f>
        <v/>
      </c>
      <c r="G692">
        <f>IF(Criterios!B146="","",146)</f>
        <v/>
      </c>
    </row>
    <row r="693">
      <c r="A693">
        <f>IF(Criterios!B146="","",Criterios!B146)</f>
        <v/>
      </c>
      <c r="B693">
        <f>IF(Criterios!B146="","",Criterios!D146/100)</f>
        <v/>
      </c>
      <c r="C693">
        <f>IF(Criterios!B146="","",'Necesitas_Mejorar')</f>
        <v/>
      </c>
      <c r="D693">
        <f>IF(Criterios!B146="","",Criterios!F146)</f>
        <v/>
      </c>
      <c r="E693">
        <f>IF(Criterios!B146="","",25)</f>
        <v/>
      </c>
      <c r="F693">
        <f>IF(Criterios!B146="","",Criterios!A146)</f>
        <v/>
      </c>
      <c r="G693">
        <f>IF(Criterios!B146="","",146)</f>
        <v/>
      </c>
    </row>
    <row r="694">
      <c r="A694">
        <f>IF(Criterios!B146="","",Criterios!B146)</f>
        <v/>
      </c>
      <c r="B694">
        <f>IF(Criterios!B146="","",Criterios!D146/100)</f>
        <v/>
      </c>
      <c r="C694">
        <f>IF(Criterios!B146="","",'Bueno')</f>
        <v/>
      </c>
      <c r="D694">
        <f>IF(Criterios!B146="","",Criterios!G146)</f>
        <v/>
      </c>
      <c r="E694">
        <f>IF(Criterios!B146="","",50)</f>
        <v/>
      </c>
      <c r="F694">
        <f>IF(Criterios!B146="","",Criterios!A146)</f>
        <v/>
      </c>
      <c r="G694">
        <f>IF(Criterios!B146="","",146)</f>
        <v/>
      </c>
    </row>
    <row r="695">
      <c r="A695">
        <f>IF(Criterios!B146="","",Criterios!B146)</f>
        <v/>
      </c>
      <c r="B695">
        <f>IF(Criterios!B146="","",Criterios!D146/100)</f>
        <v/>
      </c>
      <c r="C695">
        <f>IF(Criterios!B146="","",'Satisfactorio')</f>
        <v/>
      </c>
      <c r="D695">
        <f>IF(Criterios!B146="","",Criterios!H146)</f>
        <v/>
      </c>
      <c r="E695">
        <f>IF(Criterios!B146="","",75)</f>
        <v/>
      </c>
      <c r="F695">
        <f>IF(Criterios!B146="","",Criterios!A146)</f>
        <v/>
      </c>
      <c r="G695">
        <f>IF(Criterios!B146="","",146)</f>
        <v/>
      </c>
    </row>
    <row r="696">
      <c r="A696">
        <f>IF(Criterios!B146="","",Criterios!B146)</f>
        <v/>
      </c>
      <c r="B696">
        <f>IF(Criterios!B146="","",Criterios!D146/100)</f>
        <v/>
      </c>
      <c r="C696">
        <f>IF(Criterios!B146="","",'Excelente')</f>
        <v/>
      </c>
      <c r="D696">
        <f>IF(Criterios!B146="","",Criterios!I146)</f>
        <v/>
      </c>
      <c r="E696">
        <f>IF(Criterios!B146="","",100)</f>
        <v/>
      </c>
      <c r="F696">
        <f>IF(Criterios!B146="","",Criterios!A146)</f>
        <v/>
      </c>
      <c r="G696">
        <f>IF(Criterios!B146="","",146)</f>
        <v/>
      </c>
    </row>
    <row r="697">
      <c r="A697">
        <f>IF(Criterios!B147="","",Criterios!B147)</f>
        <v/>
      </c>
      <c r="B697">
        <f>IF(Criterios!B147="","",Criterios!D147/100)</f>
        <v/>
      </c>
      <c r="C697">
        <f>IF(Criterios!B147="","",'Insatisfactorio')</f>
        <v/>
      </c>
      <c r="D697">
        <f>IF(Criterios!B147="","",Criterios!E147)</f>
        <v/>
      </c>
      <c r="E697">
        <f>IF(Criterios!B147="","",0)</f>
        <v/>
      </c>
      <c r="F697">
        <f>IF(Criterios!B147="","",Criterios!A147)</f>
        <v/>
      </c>
      <c r="G697">
        <f>IF(Criterios!B147="","",147)</f>
        <v/>
      </c>
    </row>
    <row r="698">
      <c r="A698">
        <f>IF(Criterios!B147="","",Criterios!B147)</f>
        <v/>
      </c>
      <c r="B698">
        <f>IF(Criterios!B147="","",Criterios!D147/100)</f>
        <v/>
      </c>
      <c r="C698">
        <f>IF(Criterios!B147="","",'Necesitas_Mejorar')</f>
        <v/>
      </c>
      <c r="D698">
        <f>IF(Criterios!B147="","",Criterios!F147)</f>
        <v/>
      </c>
      <c r="E698">
        <f>IF(Criterios!B147="","",25)</f>
        <v/>
      </c>
      <c r="F698">
        <f>IF(Criterios!B147="","",Criterios!A147)</f>
        <v/>
      </c>
      <c r="G698">
        <f>IF(Criterios!B147="","",147)</f>
        <v/>
      </c>
    </row>
    <row r="699">
      <c r="A699">
        <f>IF(Criterios!B147="","",Criterios!B147)</f>
        <v/>
      </c>
      <c r="B699">
        <f>IF(Criterios!B147="","",Criterios!D147/100)</f>
        <v/>
      </c>
      <c r="C699">
        <f>IF(Criterios!B147="","",'Bueno')</f>
        <v/>
      </c>
      <c r="D699">
        <f>IF(Criterios!B147="","",Criterios!G147)</f>
        <v/>
      </c>
      <c r="E699">
        <f>IF(Criterios!B147="","",50)</f>
        <v/>
      </c>
      <c r="F699">
        <f>IF(Criterios!B147="","",Criterios!A147)</f>
        <v/>
      </c>
      <c r="G699">
        <f>IF(Criterios!B147="","",147)</f>
        <v/>
      </c>
    </row>
    <row r="700">
      <c r="A700">
        <f>IF(Criterios!B147="","",Criterios!B147)</f>
        <v/>
      </c>
      <c r="B700">
        <f>IF(Criterios!B147="","",Criterios!D147/100)</f>
        <v/>
      </c>
      <c r="C700">
        <f>IF(Criterios!B147="","",'Satisfactorio')</f>
        <v/>
      </c>
      <c r="D700">
        <f>IF(Criterios!B147="","",Criterios!H147)</f>
        <v/>
      </c>
      <c r="E700">
        <f>IF(Criterios!B147="","",75)</f>
        <v/>
      </c>
      <c r="F700">
        <f>IF(Criterios!B147="","",Criterios!A147)</f>
        <v/>
      </c>
      <c r="G700">
        <f>IF(Criterios!B147="","",147)</f>
        <v/>
      </c>
    </row>
    <row r="701">
      <c r="A701">
        <f>IF(Criterios!B147="","",Criterios!B147)</f>
        <v/>
      </c>
      <c r="B701">
        <f>IF(Criterios!B147="","",Criterios!D147/100)</f>
        <v/>
      </c>
      <c r="C701">
        <f>IF(Criterios!B147="","",'Excelente')</f>
        <v/>
      </c>
      <c r="D701">
        <f>IF(Criterios!B147="","",Criterios!I147)</f>
        <v/>
      </c>
      <c r="E701">
        <f>IF(Criterios!B147="","",100)</f>
        <v/>
      </c>
      <c r="F701">
        <f>IF(Criterios!B147="","",Criterios!A147)</f>
        <v/>
      </c>
      <c r="G701">
        <f>IF(Criterios!B147="","",147)</f>
        <v/>
      </c>
    </row>
    <row r="702">
      <c r="A702">
        <f>IF(Criterios!B148="","",Criterios!B148)</f>
        <v/>
      </c>
      <c r="B702">
        <f>IF(Criterios!B148="","",Criterios!D148/100)</f>
        <v/>
      </c>
      <c r="C702">
        <f>IF(Criterios!B148="","",'Insatisfactorio')</f>
        <v/>
      </c>
      <c r="D702">
        <f>IF(Criterios!B148="","",Criterios!E148)</f>
        <v/>
      </c>
      <c r="E702">
        <f>IF(Criterios!B148="","",0)</f>
        <v/>
      </c>
      <c r="F702">
        <f>IF(Criterios!B148="","",Criterios!A148)</f>
        <v/>
      </c>
      <c r="G702">
        <f>IF(Criterios!B148="","",148)</f>
        <v/>
      </c>
    </row>
    <row r="703">
      <c r="A703">
        <f>IF(Criterios!B148="","",Criterios!B148)</f>
        <v/>
      </c>
      <c r="B703">
        <f>IF(Criterios!B148="","",Criterios!D148/100)</f>
        <v/>
      </c>
      <c r="C703">
        <f>IF(Criterios!B148="","",'Necesitas_Mejorar')</f>
        <v/>
      </c>
      <c r="D703">
        <f>IF(Criterios!B148="","",Criterios!F148)</f>
        <v/>
      </c>
      <c r="E703">
        <f>IF(Criterios!B148="","",25)</f>
        <v/>
      </c>
      <c r="F703">
        <f>IF(Criterios!B148="","",Criterios!A148)</f>
        <v/>
      </c>
      <c r="G703">
        <f>IF(Criterios!B148="","",148)</f>
        <v/>
      </c>
    </row>
    <row r="704">
      <c r="A704">
        <f>IF(Criterios!B148="","",Criterios!B148)</f>
        <v/>
      </c>
      <c r="B704">
        <f>IF(Criterios!B148="","",Criterios!D148/100)</f>
        <v/>
      </c>
      <c r="C704">
        <f>IF(Criterios!B148="","",'Bueno')</f>
        <v/>
      </c>
      <c r="D704">
        <f>IF(Criterios!B148="","",Criterios!G148)</f>
        <v/>
      </c>
      <c r="E704">
        <f>IF(Criterios!B148="","",50)</f>
        <v/>
      </c>
      <c r="F704">
        <f>IF(Criterios!B148="","",Criterios!A148)</f>
        <v/>
      </c>
      <c r="G704">
        <f>IF(Criterios!B148="","",148)</f>
        <v/>
      </c>
    </row>
    <row r="705">
      <c r="A705">
        <f>IF(Criterios!B148="","",Criterios!B148)</f>
        <v/>
      </c>
      <c r="B705">
        <f>IF(Criterios!B148="","",Criterios!D148/100)</f>
        <v/>
      </c>
      <c r="C705">
        <f>IF(Criterios!B148="","",'Satisfactorio')</f>
        <v/>
      </c>
      <c r="D705">
        <f>IF(Criterios!B148="","",Criterios!H148)</f>
        <v/>
      </c>
      <c r="E705">
        <f>IF(Criterios!B148="","",75)</f>
        <v/>
      </c>
      <c r="F705">
        <f>IF(Criterios!B148="","",Criterios!A148)</f>
        <v/>
      </c>
      <c r="G705">
        <f>IF(Criterios!B148="","",148)</f>
        <v/>
      </c>
    </row>
    <row r="706">
      <c r="A706">
        <f>IF(Criterios!B148="","",Criterios!B148)</f>
        <v/>
      </c>
      <c r="B706">
        <f>IF(Criterios!B148="","",Criterios!D148/100)</f>
        <v/>
      </c>
      <c r="C706">
        <f>IF(Criterios!B148="","",'Excelente')</f>
        <v/>
      </c>
      <c r="D706">
        <f>IF(Criterios!B148="","",Criterios!I148)</f>
        <v/>
      </c>
      <c r="E706">
        <f>IF(Criterios!B148="","",100)</f>
        <v/>
      </c>
      <c r="F706">
        <f>IF(Criterios!B148="","",Criterios!A148)</f>
        <v/>
      </c>
      <c r="G706">
        <f>IF(Criterios!B148="","",148)</f>
        <v/>
      </c>
    </row>
    <row r="707">
      <c r="A707">
        <f>IF(Criterios!B149="","",Criterios!B149)</f>
        <v/>
      </c>
      <c r="B707">
        <f>IF(Criterios!B149="","",Criterios!D149/100)</f>
        <v/>
      </c>
      <c r="C707">
        <f>IF(Criterios!B149="","",'Insatisfactorio')</f>
        <v/>
      </c>
      <c r="D707">
        <f>IF(Criterios!B149="","",Criterios!E149)</f>
        <v/>
      </c>
      <c r="E707">
        <f>IF(Criterios!B149="","",0)</f>
        <v/>
      </c>
      <c r="F707">
        <f>IF(Criterios!B149="","",Criterios!A149)</f>
        <v/>
      </c>
      <c r="G707">
        <f>IF(Criterios!B149="","",149)</f>
        <v/>
      </c>
    </row>
    <row r="708">
      <c r="A708">
        <f>IF(Criterios!B149="","",Criterios!B149)</f>
        <v/>
      </c>
      <c r="B708">
        <f>IF(Criterios!B149="","",Criterios!D149/100)</f>
        <v/>
      </c>
      <c r="C708">
        <f>IF(Criterios!B149="","",'Necesitas_Mejorar')</f>
        <v/>
      </c>
      <c r="D708">
        <f>IF(Criterios!B149="","",Criterios!F149)</f>
        <v/>
      </c>
      <c r="E708">
        <f>IF(Criterios!B149="","",25)</f>
        <v/>
      </c>
      <c r="F708">
        <f>IF(Criterios!B149="","",Criterios!A149)</f>
        <v/>
      </c>
      <c r="G708">
        <f>IF(Criterios!B149="","",149)</f>
        <v/>
      </c>
    </row>
    <row r="709">
      <c r="A709">
        <f>IF(Criterios!B149="","",Criterios!B149)</f>
        <v/>
      </c>
      <c r="B709">
        <f>IF(Criterios!B149="","",Criterios!D149/100)</f>
        <v/>
      </c>
      <c r="C709">
        <f>IF(Criterios!B149="","",'Bueno')</f>
        <v/>
      </c>
      <c r="D709">
        <f>IF(Criterios!B149="","",Criterios!G149)</f>
        <v/>
      </c>
      <c r="E709">
        <f>IF(Criterios!B149="","",50)</f>
        <v/>
      </c>
      <c r="F709">
        <f>IF(Criterios!B149="","",Criterios!A149)</f>
        <v/>
      </c>
      <c r="G709">
        <f>IF(Criterios!B149="","",149)</f>
        <v/>
      </c>
    </row>
    <row r="710">
      <c r="A710">
        <f>IF(Criterios!B149="","",Criterios!B149)</f>
        <v/>
      </c>
      <c r="B710">
        <f>IF(Criterios!B149="","",Criterios!D149/100)</f>
        <v/>
      </c>
      <c r="C710">
        <f>IF(Criterios!B149="","",'Satisfactorio')</f>
        <v/>
      </c>
      <c r="D710">
        <f>IF(Criterios!B149="","",Criterios!H149)</f>
        <v/>
      </c>
      <c r="E710">
        <f>IF(Criterios!B149="","",75)</f>
        <v/>
      </c>
      <c r="F710">
        <f>IF(Criterios!B149="","",Criterios!A149)</f>
        <v/>
      </c>
      <c r="G710">
        <f>IF(Criterios!B149="","",149)</f>
        <v/>
      </c>
    </row>
    <row r="711">
      <c r="A711">
        <f>IF(Criterios!B149="","",Criterios!B149)</f>
        <v/>
      </c>
      <c r="B711">
        <f>IF(Criterios!B149="","",Criterios!D149/100)</f>
        <v/>
      </c>
      <c r="C711">
        <f>IF(Criterios!B149="","",'Excelente')</f>
        <v/>
      </c>
      <c r="D711">
        <f>IF(Criterios!B149="","",Criterios!I149)</f>
        <v/>
      </c>
      <c r="E711">
        <f>IF(Criterios!B149="","",100)</f>
        <v/>
      </c>
      <c r="F711">
        <f>IF(Criterios!B149="","",Criterios!A149)</f>
        <v/>
      </c>
      <c r="G711">
        <f>IF(Criterios!B149="","",149)</f>
        <v/>
      </c>
    </row>
    <row r="712">
      <c r="A712">
        <f>IF(Criterios!B150="","",Criterios!B150)</f>
        <v/>
      </c>
      <c r="B712">
        <f>IF(Criterios!B150="","",Criterios!D150/100)</f>
        <v/>
      </c>
      <c r="C712">
        <f>IF(Criterios!B150="","",'Insatisfactorio')</f>
        <v/>
      </c>
      <c r="D712">
        <f>IF(Criterios!B150="","",Criterios!E150)</f>
        <v/>
      </c>
      <c r="E712">
        <f>IF(Criterios!B150="","",0)</f>
        <v/>
      </c>
      <c r="F712">
        <f>IF(Criterios!B150="","",Criterios!A150)</f>
        <v/>
      </c>
      <c r="G712">
        <f>IF(Criterios!B150="","",150)</f>
        <v/>
      </c>
    </row>
    <row r="713">
      <c r="A713">
        <f>IF(Criterios!B150="","",Criterios!B150)</f>
        <v/>
      </c>
      <c r="B713">
        <f>IF(Criterios!B150="","",Criterios!D150/100)</f>
        <v/>
      </c>
      <c r="C713">
        <f>IF(Criterios!B150="","",'Necesitas_Mejorar')</f>
        <v/>
      </c>
      <c r="D713">
        <f>IF(Criterios!B150="","",Criterios!F150)</f>
        <v/>
      </c>
      <c r="E713">
        <f>IF(Criterios!B150="","",25)</f>
        <v/>
      </c>
      <c r="F713">
        <f>IF(Criterios!B150="","",Criterios!A150)</f>
        <v/>
      </c>
      <c r="G713">
        <f>IF(Criterios!B150="","",150)</f>
        <v/>
      </c>
    </row>
    <row r="714">
      <c r="A714">
        <f>IF(Criterios!B150="","",Criterios!B150)</f>
        <v/>
      </c>
      <c r="B714">
        <f>IF(Criterios!B150="","",Criterios!D150/100)</f>
        <v/>
      </c>
      <c r="C714">
        <f>IF(Criterios!B150="","",'Bueno')</f>
        <v/>
      </c>
      <c r="D714">
        <f>IF(Criterios!B150="","",Criterios!G150)</f>
        <v/>
      </c>
      <c r="E714">
        <f>IF(Criterios!B150="","",50)</f>
        <v/>
      </c>
      <c r="F714">
        <f>IF(Criterios!B150="","",Criterios!A150)</f>
        <v/>
      </c>
      <c r="G714">
        <f>IF(Criterios!B150="","",150)</f>
        <v/>
      </c>
    </row>
    <row r="715">
      <c r="A715">
        <f>IF(Criterios!B150="","",Criterios!B150)</f>
        <v/>
      </c>
      <c r="B715">
        <f>IF(Criterios!B150="","",Criterios!D150/100)</f>
        <v/>
      </c>
      <c r="C715">
        <f>IF(Criterios!B150="","",'Satisfactorio')</f>
        <v/>
      </c>
      <c r="D715">
        <f>IF(Criterios!B150="","",Criterios!H150)</f>
        <v/>
      </c>
      <c r="E715">
        <f>IF(Criterios!B150="","",75)</f>
        <v/>
      </c>
      <c r="F715">
        <f>IF(Criterios!B150="","",Criterios!A150)</f>
        <v/>
      </c>
      <c r="G715">
        <f>IF(Criterios!B150="","",150)</f>
        <v/>
      </c>
    </row>
    <row r="716">
      <c r="A716">
        <f>IF(Criterios!B150="","",Criterios!B150)</f>
        <v/>
      </c>
      <c r="B716">
        <f>IF(Criterios!B150="","",Criterios!D150/100)</f>
        <v/>
      </c>
      <c r="C716">
        <f>IF(Criterios!B150="","",'Excelente')</f>
        <v/>
      </c>
      <c r="D716">
        <f>IF(Criterios!B150="","",Criterios!I150)</f>
        <v/>
      </c>
      <c r="E716">
        <f>IF(Criterios!B150="","",100)</f>
        <v/>
      </c>
      <c r="F716">
        <f>IF(Criterios!B150="","",Criterios!A150)</f>
        <v/>
      </c>
      <c r="G716">
        <f>IF(Criterios!B150="","",150)</f>
        <v/>
      </c>
    </row>
    <row r="717">
      <c r="A717">
        <f>IF(Criterios!B151="","",Criterios!B151)</f>
        <v/>
      </c>
      <c r="B717">
        <f>IF(Criterios!B151="","",Criterios!D151/100)</f>
        <v/>
      </c>
      <c r="C717">
        <f>IF(Criterios!B151="","",'Insatisfactorio')</f>
        <v/>
      </c>
      <c r="D717">
        <f>IF(Criterios!B151="","",Criterios!E151)</f>
        <v/>
      </c>
      <c r="E717">
        <f>IF(Criterios!B151="","",0)</f>
        <v/>
      </c>
      <c r="F717">
        <f>IF(Criterios!B151="","",Criterios!A151)</f>
        <v/>
      </c>
      <c r="G717">
        <f>IF(Criterios!B151="","",151)</f>
        <v/>
      </c>
    </row>
    <row r="718">
      <c r="A718">
        <f>IF(Criterios!B151="","",Criterios!B151)</f>
        <v/>
      </c>
      <c r="B718">
        <f>IF(Criterios!B151="","",Criterios!D151/100)</f>
        <v/>
      </c>
      <c r="C718">
        <f>IF(Criterios!B151="","",'Necesitas_Mejorar')</f>
        <v/>
      </c>
      <c r="D718">
        <f>IF(Criterios!B151="","",Criterios!F151)</f>
        <v/>
      </c>
      <c r="E718">
        <f>IF(Criterios!B151="","",25)</f>
        <v/>
      </c>
      <c r="F718">
        <f>IF(Criterios!B151="","",Criterios!A151)</f>
        <v/>
      </c>
      <c r="G718">
        <f>IF(Criterios!B151="","",151)</f>
        <v/>
      </c>
    </row>
    <row r="719">
      <c r="A719">
        <f>IF(Criterios!B151="","",Criterios!B151)</f>
        <v/>
      </c>
      <c r="B719">
        <f>IF(Criterios!B151="","",Criterios!D151/100)</f>
        <v/>
      </c>
      <c r="C719">
        <f>IF(Criterios!B151="","",'Bueno')</f>
        <v/>
      </c>
      <c r="D719">
        <f>IF(Criterios!B151="","",Criterios!G151)</f>
        <v/>
      </c>
      <c r="E719">
        <f>IF(Criterios!B151="","",50)</f>
        <v/>
      </c>
      <c r="F719">
        <f>IF(Criterios!B151="","",Criterios!A151)</f>
        <v/>
      </c>
      <c r="G719">
        <f>IF(Criterios!B151="","",151)</f>
        <v/>
      </c>
    </row>
    <row r="720">
      <c r="A720">
        <f>IF(Criterios!B151="","",Criterios!B151)</f>
        <v/>
      </c>
      <c r="B720">
        <f>IF(Criterios!B151="","",Criterios!D151/100)</f>
        <v/>
      </c>
      <c r="C720">
        <f>IF(Criterios!B151="","",'Satisfactorio')</f>
        <v/>
      </c>
      <c r="D720">
        <f>IF(Criterios!B151="","",Criterios!H151)</f>
        <v/>
      </c>
      <c r="E720">
        <f>IF(Criterios!B151="","",75)</f>
        <v/>
      </c>
      <c r="F720">
        <f>IF(Criterios!B151="","",Criterios!A151)</f>
        <v/>
      </c>
      <c r="G720">
        <f>IF(Criterios!B151="","",151)</f>
        <v/>
      </c>
    </row>
    <row r="721">
      <c r="A721">
        <f>IF(Criterios!B151="","",Criterios!B151)</f>
        <v/>
      </c>
      <c r="B721">
        <f>IF(Criterios!B151="","",Criterios!D151/100)</f>
        <v/>
      </c>
      <c r="C721">
        <f>IF(Criterios!B151="","",'Excelente')</f>
        <v/>
      </c>
      <c r="D721">
        <f>IF(Criterios!B151="","",Criterios!I151)</f>
        <v/>
      </c>
      <c r="E721">
        <f>IF(Criterios!B151="","",100)</f>
        <v/>
      </c>
      <c r="F721">
        <f>IF(Criterios!B151="","",Criterios!A151)</f>
        <v/>
      </c>
      <c r="G721">
        <f>IF(Criterios!B151="","",151)</f>
        <v/>
      </c>
    </row>
    <row r="722">
      <c r="A722">
        <f>IF(Criterios!B152="","",Criterios!B152)</f>
        <v/>
      </c>
      <c r="B722">
        <f>IF(Criterios!B152="","",Criterios!D152/100)</f>
        <v/>
      </c>
      <c r="C722">
        <f>IF(Criterios!B152="","",'Insatisfactorio')</f>
        <v/>
      </c>
      <c r="D722">
        <f>IF(Criterios!B152="","",Criterios!E152)</f>
        <v/>
      </c>
      <c r="E722">
        <f>IF(Criterios!B152="","",0)</f>
        <v/>
      </c>
      <c r="F722">
        <f>IF(Criterios!B152="","",Criterios!A152)</f>
        <v/>
      </c>
      <c r="G722">
        <f>IF(Criterios!B152="","",152)</f>
        <v/>
      </c>
    </row>
    <row r="723">
      <c r="A723">
        <f>IF(Criterios!B152="","",Criterios!B152)</f>
        <v/>
      </c>
      <c r="B723">
        <f>IF(Criterios!B152="","",Criterios!D152/100)</f>
        <v/>
      </c>
      <c r="C723">
        <f>IF(Criterios!B152="","",'Necesitas_Mejorar')</f>
        <v/>
      </c>
      <c r="D723">
        <f>IF(Criterios!B152="","",Criterios!F152)</f>
        <v/>
      </c>
      <c r="E723">
        <f>IF(Criterios!B152="","",25)</f>
        <v/>
      </c>
      <c r="F723">
        <f>IF(Criterios!B152="","",Criterios!A152)</f>
        <v/>
      </c>
      <c r="G723">
        <f>IF(Criterios!B152="","",152)</f>
        <v/>
      </c>
    </row>
    <row r="724">
      <c r="A724">
        <f>IF(Criterios!B152="","",Criterios!B152)</f>
        <v/>
      </c>
      <c r="B724">
        <f>IF(Criterios!B152="","",Criterios!D152/100)</f>
        <v/>
      </c>
      <c r="C724">
        <f>IF(Criterios!B152="","",'Bueno')</f>
        <v/>
      </c>
      <c r="D724">
        <f>IF(Criterios!B152="","",Criterios!G152)</f>
        <v/>
      </c>
      <c r="E724">
        <f>IF(Criterios!B152="","",50)</f>
        <v/>
      </c>
      <c r="F724">
        <f>IF(Criterios!B152="","",Criterios!A152)</f>
        <v/>
      </c>
      <c r="G724">
        <f>IF(Criterios!B152="","",152)</f>
        <v/>
      </c>
    </row>
    <row r="725">
      <c r="A725">
        <f>IF(Criterios!B152="","",Criterios!B152)</f>
        <v/>
      </c>
      <c r="B725">
        <f>IF(Criterios!B152="","",Criterios!D152/100)</f>
        <v/>
      </c>
      <c r="C725">
        <f>IF(Criterios!B152="","",'Satisfactorio')</f>
        <v/>
      </c>
      <c r="D725">
        <f>IF(Criterios!B152="","",Criterios!H152)</f>
        <v/>
      </c>
      <c r="E725">
        <f>IF(Criterios!B152="","",75)</f>
        <v/>
      </c>
      <c r="F725">
        <f>IF(Criterios!B152="","",Criterios!A152)</f>
        <v/>
      </c>
      <c r="G725">
        <f>IF(Criterios!B152="","",152)</f>
        <v/>
      </c>
    </row>
    <row r="726">
      <c r="A726">
        <f>IF(Criterios!B152="","",Criterios!B152)</f>
        <v/>
      </c>
      <c r="B726">
        <f>IF(Criterios!B152="","",Criterios!D152/100)</f>
        <v/>
      </c>
      <c r="C726">
        <f>IF(Criterios!B152="","",'Excelente')</f>
        <v/>
      </c>
      <c r="D726">
        <f>IF(Criterios!B152="","",Criterios!I152)</f>
        <v/>
      </c>
      <c r="E726">
        <f>IF(Criterios!B152="","",100)</f>
        <v/>
      </c>
      <c r="F726">
        <f>IF(Criterios!B152="","",Criterios!A152)</f>
        <v/>
      </c>
      <c r="G726">
        <f>IF(Criterios!B152="","",152)</f>
        <v/>
      </c>
    </row>
    <row r="727">
      <c r="A727">
        <f>IF(Criterios!B153="","",Criterios!B153)</f>
        <v/>
      </c>
      <c r="B727">
        <f>IF(Criterios!B153="","",Criterios!D153/100)</f>
        <v/>
      </c>
      <c r="C727">
        <f>IF(Criterios!B153="","",'Insatisfactorio')</f>
        <v/>
      </c>
      <c r="D727">
        <f>IF(Criterios!B153="","",Criterios!E153)</f>
        <v/>
      </c>
      <c r="E727">
        <f>IF(Criterios!B153="","",0)</f>
        <v/>
      </c>
      <c r="F727">
        <f>IF(Criterios!B153="","",Criterios!A153)</f>
        <v/>
      </c>
      <c r="G727">
        <f>IF(Criterios!B153="","",153)</f>
        <v/>
      </c>
    </row>
    <row r="728">
      <c r="A728">
        <f>IF(Criterios!B153="","",Criterios!B153)</f>
        <v/>
      </c>
      <c r="B728">
        <f>IF(Criterios!B153="","",Criterios!D153/100)</f>
        <v/>
      </c>
      <c r="C728">
        <f>IF(Criterios!B153="","",'Necesitas_Mejorar')</f>
        <v/>
      </c>
      <c r="D728">
        <f>IF(Criterios!B153="","",Criterios!F153)</f>
        <v/>
      </c>
      <c r="E728">
        <f>IF(Criterios!B153="","",25)</f>
        <v/>
      </c>
      <c r="F728">
        <f>IF(Criterios!B153="","",Criterios!A153)</f>
        <v/>
      </c>
      <c r="G728">
        <f>IF(Criterios!B153="","",153)</f>
        <v/>
      </c>
    </row>
    <row r="729">
      <c r="A729">
        <f>IF(Criterios!B153="","",Criterios!B153)</f>
        <v/>
      </c>
      <c r="B729">
        <f>IF(Criterios!B153="","",Criterios!D153/100)</f>
        <v/>
      </c>
      <c r="C729">
        <f>IF(Criterios!B153="","",'Bueno')</f>
        <v/>
      </c>
      <c r="D729">
        <f>IF(Criterios!B153="","",Criterios!G153)</f>
        <v/>
      </c>
      <c r="E729">
        <f>IF(Criterios!B153="","",50)</f>
        <v/>
      </c>
      <c r="F729">
        <f>IF(Criterios!B153="","",Criterios!A153)</f>
        <v/>
      </c>
      <c r="G729">
        <f>IF(Criterios!B153="","",153)</f>
        <v/>
      </c>
    </row>
    <row r="730">
      <c r="A730">
        <f>IF(Criterios!B153="","",Criterios!B153)</f>
        <v/>
      </c>
      <c r="B730">
        <f>IF(Criterios!B153="","",Criterios!D153/100)</f>
        <v/>
      </c>
      <c r="C730">
        <f>IF(Criterios!B153="","",'Satisfactorio')</f>
        <v/>
      </c>
      <c r="D730">
        <f>IF(Criterios!B153="","",Criterios!H153)</f>
        <v/>
      </c>
      <c r="E730">
        <f>IF(Criterios!B153="","",75)</f>
        <v/>
      </c>
      <c r="F730">
        <f>IF(Criterios!B153="","",Criterios!A153)</f>
        <v/>
      </c>
      <c r="G730">
        <f>IF(Criterios!B153="","",153)</f>
        <v/>
      </c>
    </row>
    <row r="731">
      <c r="A731">
        <f>IF(Criterios!B153="","",Criterios!B153)</f>
        <v/>
      </c>
      <c r="B731">
        <f>IF(Criterios!B153="","",Criterios!D153/100)</f>
        <v/>
      </c>
      <c r="C731">
        <f>IF(Criterios!B153="","",'Excelente')</f>
        <v/>
      </c>
      <c r="D731">
        <f>IF(Criterios!B153="","",Criterios!I153)</f>
        <v/>
      </c>
      <c r="E731">
        <f>IF(Criterios!B153="","",100)</f>
        <v/>
      </c>
      <c r="F731">
        <f>IF(Criterios!B153="","",Criterios!A153)</f>
        <v/>
      </c>
      <c r="G731">
        <f>IF(Criterios!B153="","",153)</f>
        <v/>
      </c>
    </row>
    <row r="732">
      <c r="A732">
        <f>IF(Criterios!B154="","",Criterios!B154)</f>
        <v/>
      </c>
      <c r="B732">
        <f>IF(Criterios!B154="","",Criterios!D154/100)</f>
        <v/>
      </c>
      <c r="C732">
        <f>IF(Criterios!B154="","",'Insatisfactorio')</f>
        <v/>
      </c>
      <c r="D732">
        <f>IF(Criterios!B154="","",Criterios!E154)</f>
        <v/>
      </c>
      <c r="E732">
        <f>IF(Criterios!B154="","",0)</f>
        <v/>
      </c>
      <c r="F732">
        <f>IF(Criterios!B154="","",Criterios!A154)</f>
        <v/>
      </c>
      <c r="G732">
        <f>IF(Criterios!B154="","",154)</f>
        <v/>
      </c>
    </row>
    <row r="733">
      <c r="A733">
        <f>IF(Criterios!B154="","",Criterios!B154)</f>
        <v/>
      </c>
      <c r="B733">
        <f>IF(Criterios!B154="","",Criterios!D154/100)</f>
        <v/>
      </c>
      <c r="C733">
        <f>IF(Criterios!B154="","",'Necesitas_Mejorar')</f>
        <v/>
      </c>
      <c r="D733">
        <f>IF(Criterios!B154="","",Criterios!F154)</f>
        <v/>
      </c>
      <c r="E733">
        <f>IF(Criterios!B154="","",25)</f>
        <v/>
      </c>
      <c r="F733">
        <f>IF(Criterios!B154="","",Criterios!A154)</f>
        <v/>
      </c>
      <c r="G733">
        <f>IF(Criterios!B154="","",154)</f>
        <v/>
      </c>
    </row>
    <row r="734">
      <c r="A734">
        <f>IF(Criterios!B154="","",Criterios!B154)</f>
        <v/>
      </c>
      <c r="B734">
        <f>IF(Criterios!B154="","",Criterios!D154/100)</f>
        <v/>
      </c>
      <c r="C734">
        <f>IF(Criterios!B154="","",'Bueno')</f>
        <v/>
      </c>
      <c r="D734">
        <f>IF(Criterios!B154="","",Criterios!G154)</f>
        <v/>
      </c>
      <c r="E734">
        <f>IF(Criterios!B154="","",50)</f>
        <v/>
      </c>
      <c r="F734">
        <f>IF(Criterios!B154="","",Criterios!A154)</f>
        <v/>
      </c>
      <c r="G734">
        <f>IF(Criterios!B154="","",154)</f>
        <v/>
      </c>
    </row>
    <row r="735">
      <c r="A735">
        <f>IF(Criterios!B154="","",Criterios!B154)</f>
        <v/>
      </c>
      <c r="B735">
        <f>IF(Criterios!B154="","",Criterios!D154/100)</f>
        <v/>
      </c>
      <c r="C735">
        <f>IF(Criterios!B154="","",'Satisfactorio')</f>
        <v/>
      </c>
      <c r="D735">
        <f>IF(Criterios!B154="","",Criterios!H154)</f>
        <v/>
      </c>
      <c r="E735">
        <f>IF(Criterios!B154="","",75)</f>
        <v/>
      </c>
      <c r="F735">
        <f>IF(Criterios!B154="","",Criterios!A154)</f>
        <v/>
      </c>
      <c r="G735">
        <f>IF(Criterios!B154="","",154)</f>
        <v/>
      </c>
    </row>
    <row r="736">
      <c r="A736">
        <f>IF(Criterios!B154="","",Criterios!B154)</f>
        <v/>
      </c>
      <c r="B736">
        <f>IF(Criterios!B154="","",Criterios!D154/100)</f>
        <v/>
      </c>
      <c r="C736">
        <f>IF(Criterios!B154="","",'Excelente')</f>
        <v/>
      </c>
      <c r="D736">
        <f>IF(Criterios!B154="","",Criterios!I154)</f>
        <v/>
      </c>
      <c r="E736">
        <f>IF(Criterios!B154="","",100)</f>
        <v/>
      </c>
      <c r="F736">
        <f>IF(Criterios!B154="","",Criterios!A154)</f>
        <v/>
      </c>
      <c r="G736">
        <f>IF(Criterios!B154="","",154)</f>
        <v/>
      </c>
    </row>
    <row r="737">
      <c r="A737">
        <f>IF(Criterios!B155="","",Criterios!B155)</f>
        <v/>
      </c>
      <c r="B737">
        <f>IF(Criterios!B155="","",Criterios!D155/100)</f>
        <v/>
      </c>
      <c r="C737">
        <f>IF(Criterios!B155="","",'Insatisfactorio')</f>
        <v/>
      </c>
      <c r="D737">
        <f>IF(Criterios!B155="","",Criterios!E155)</f>
        <v/>
      </c>
      <c r="E737">
        <f>IF(Criterios!B155="","",0)</f>
        <v/>
      </c>
      <c r="F737">
        <f>IF(Criterios!B155="","",Criterios!A155)</f>
        <v/>
      </c>
      <c r="G737">
        <f>IF(Criterios!B155="","",155)</f>
        <v/>
      </c>
    </row>
    <row r="738">
      <c r="A738">
        <f>IF(Criterios!B155="","",Criterios!B155)</f>
        <v/>
      </c>
      <c r="B738">
        <f>IF(Criterios!B155="","",Criterios!D155/100)</f>
        <v/>
      </c>
      <c r="C738">
        <f>IF(Criterios!B155="","",'Necesitas_Mejorar')</f>
        <v/>
      </c>
      <c r="D738">
        <f>IF(Criterios!B155="","",Criterios!F155)</f>
        <v/>
      </c>
      <c r="E738">
        <f>IF(Criterios!B155="","",25)</f>
        <v/>
      </c>
      <c r="F738">
        <f>IF(Criterios!B155="","",Criterios!A155)</f>
        <v/>
      </c>
      <c r="G738">
        <f>IF(Criterios!B155="","",155)</f>
        <v/>
      </c>
    </row>
    <row r="739">
      <c r="A739">
        <f>IF(Criterios!B155="","",Criterios!B155)</f>
        <v/>
      </c>
      <c r="B739">
        <f>IF(Criterios!B155="","",Criterios!D155/100)</f>
        <v/>
      </c>
      <c r="C739">
        <f>IF(Criterios!B155="","",'Bueno')</f>
        <v/>
      </c>
      <c r="D739">
        <f>IF(Criterios!B155="","",Criterios!G155)</f>
        <v/>
      </c>
      <c r="E739">
        <f>IF(Criterios!B155="","",50)</f>
        <v/>
      </c>
      <c r="F739">
        <f>IF(Criterios!B155="","",Criterios!A155)</f>
        <v/>
      </c>
      <c r="G739">
        <f>IF(Criterios!B155="","",155)</f>
        <v/>
      </c>
    </row>
    <row r="740">
      <c r="A740">
        <f>IF(Criterios!B155="","",Criterios!B155)</f>
        <v/>
      </c>
      <c r="B740">
        <f>IF(Criterios!B155="","",Criterios!D155/100)</f>
        <v/>
      </c>
      <c r="C740">
        <f>IF(Criterios!B155="","",'Satisfactorio')</f>
        <v/>
      </c>
      <c r="D740">
        <f>IF(Criterios!B155="","",Criterios!H155)</f>
        <v/>
      </c>
      <c r="E740">
        <f>IF(Criterios!B155="","",75)</f>
        <v/>
      </c>
      <c r="F740">
        <f>IF(Criterios!B155="","",Criterios!A155)</f>
        <v/>
      </c>
      <c r="G740">
        <f>IF(Criterios!B155="","",155)</f>
        <v/>
      </c>
    </row>
    <row r="741">
      <c r="A741">
        <f>IF(Criterios!B155="","",Criterios!B155)</f>
        <v/>
      </c>
      <c r="B741">
        <f>IF(Criterios!B155="","",Criterios!D155/100)</f>
        <v/>
      </c>
      <c r="C741">
        <f>IF(Criterios!B155="","",'Excelente')</f>
        <v/>
      </c>
      <c r="D741">
        <f>IF(Criterios!B155="","",Criterios!I155)</f>
        <v/>
      </c>
      <c r="E741">
        <f>IF(Criterios!B155="","",100)</f>
        <v/>
      </c>
      <c r="F741">
        <f>IF(Criterios!B155="","",Criterios!A155)</f>
        <v/>
      </c>
      <c r="G741">
        <f>IF(Criterios!B155="","",155)</f>
        <v/>
      </c>
    </row>
    <row r="742">
      <c r="A742">
        <f>IF(Criterios!B156="","",Criterios!B156)</f>
        <v/>
      </c>
      <c r="B742">
        <f>IF(Criterios!B156="","",Criterios!D156/100)</f>
        <v/>
      </c>
      <c r="C742">
        <f>IF(Criterios!B156="","",'Insatisfactorio')</f>
        <v/>
      </c>
      <c r="D742">
        <f>IF(Criterios!B156="","",Criterios!E156)</f>
        <v/>
      </c>
      <c r="E742">
        <f>IF(Criterios!B156="","",0)</f>
        <v/>
      </c>
      <c r="F742">
        <f>IF(Criterios!B156="","",Criterios!A156)</f>
        <v/>
      </c>
      <c r="G742">
        <f>IF(Criterios!B156="","",156)</f>
        <v/>
      </c>
    </row>
    <row r="743">
      <c r="A743">
        <f>IF(Criterios!B156="","",Criterios!B156)</f>
        <v/>
      </c>
      <c r="B743">
        <f>IF(Criterios!B156="","",Criterios!D156/100)</f>
        <v/>
      </c>
      <c r="C743">
        <f>IF(Criterios!B156="","",'Necesitas_Mejorar')</f>
        <v/>
      </c>
      <c r="D743">
        <f>IF(Criterios!B156="","",Criterios!F156)</f>
        <v/>
      </c>
      <c r="E743">
        <f>IF(Criterios!B156="","",25)</f>
        <v/>
      </c>
      <c r="F743">
        <f>IF(Criterios!B156="","",Criterios!A156)</f>
        <v/>
      </c>
      <c r="G743">
        <f>IF(Criterios!B156="","",156)</f>
        <v/>
      </c>
    </row>
    <row r="744">
      <c r="A744">
        <f>IF(Criterios!B156="","",Criterios!B156)</f>
        <v/>
      </c>
      <c r="B744">
        <f>IF(Criterios!B156="","",Criterios!D156/100)</f>
        <v/>
      </c>
      <c r="C744">
        <f>IF(Criterios!B156="","",'Bueno')</f>
        <v/>
      </c>
      <c r="D744">
        <f>IF(Criterios!B156="","",Criterios!G156)</f>
        <v/>
      </c>
      <c r="E744">
        <f>IF(Criterios!B156="","",50)</f>
        <v/>
      </c>
      <c r="F744">
        <f>IF(Criterios!B156="","",Criterios!A156)</f>
        <v/>
      </c>
      <c r="G744">
        <f>IF(Criterios!B156="","",156)</f>
        <v/>
      </c>
    </row>
    <row r="745">
      <c r="A745">
        <f>IF(Criterios!B156="","",Criterios!B156)</f>
        <v/>
      </c>
      <c r="B745">
        <f>IF(Criterios!B156="","",Criterios!D156/100)</f>
        <v/>
      </c>
      <c r="C745">
        <f>IF(Criterios!B156="","",'Satisfactorio')</f>
        <v/>
      </c>
      <c r="D745">
        <f>IF(Criterios!B156="","",Criterios!H156)</f>
        <v/>
      </c>
      <c r="E745">
        <f>IF(Criterios!B156="","",75)</f>
        <v/>
      </c>
      <c r="F745">
        <f>IF(Criterios!B156="","",Criterios!A156)</f>
        <v/>
      </c>
      <c r="G745">
        <f>IF(Criterios!B156="","",156)</f>
        <v/>
      </c>
    </row>
    <row r="746">
      <c r="A746">
        <f>IF(Criterios!B156="","",Criterios!B156)</f>
        <v/>
      </c>
      <c r="B746">
        <f>IF(Criterios!B156="","",Criterios!D156/100)</f>
        <v/>
      </c>
      <c r="C746">
        <f>IF(Criterios!B156="","",'Excelente')</f>
        <v/>
      </c>
      <c r="D746">
        <f>IF(Criterios!B156="","",Criterios!I156)</f>
        <v/>
      </c>
      <c r="E746">
        <f>IF(Criterios!B156="","",100)</f>
        <v/>
      </c>
      <c r="F746">
        <f>IF(Criterios!B156="","",Criterios!A156)</f>
        <v/>
      </c>
      <c r="G746">
        <f>IF(Criterios!B156="","",156)</f>
        <v/>
      </c>
    </row>
    <row r="747">
      <c r="A747">
        <f>IF(Criterios!B157="","",Criterios!B157)</f>
        <v/>
      </c>
      <c r="B747">
        <f>IF(Criterios!B157="","",Criterios!D157/100)</f>
        <v/>
      </c>
      <c r="C747">
        <f>IF(Criterios!B157="","",'Insatisfactorio')</f>
        <v/>
      </c>
      <c r="D747">
        <f>IF(Criterios!B157="","",Criterios!E157)</f>
        <v/>
      </c>
      <c r="E747">
        <f>IF(Criterios!B157="","",0)</f>
        <v/>
      </c>
      <c r="F747">
        <f>IF(Criterios!B157="","",Criterios!A157)</f>
        <v/>
      </c>
      <c r="G747">
        <f>IF(Criterios!B157="","",157)</f>
        <v/>
      </c>
    </row>
    <row r="748">
      <c r="A748">
        <f>IF(Criterios!B157="","",Criterios!B157)</f>
        <v/>
      </c>
      <c r="B748">
        <f>IF(Criterios!B157="","",Criterios!D157/100)</f>
        <v/>
      </c>
      <c r="C748">
        <f>IF(Criterios!B157="","",'Necesitas_Mejorar')</f>
        <v/>
      </c>
      <c r="D748">
        <f>IF(Criterios!B157="","",Criterios!F157)</f>
        <v/>
      </c>
      <c r="E748">
        <f>IF(Criterios!B157="","",25)</f>
        <v/>
      </c>
      <c r="F748">
        <f>IF(Criterios!B157="","",Criterios!A157)</f>
        <v/>
      </c>
      <c r="G748">
        <f>IF(Criterios!B157="","",157)</f>
        <v/>
      </c>
    </row>
    <row r="749">
      <c r="A749">
        <f>IF(Criterios!B157="","",Criterios!B157)</f>
        <v/>
      </c>
      <c r="B749">
        <f>IF(Criterios!B157="","",Criterios!D157/100)</f>
        <v/>
      </c>
      <c r="C749">
        <f>IF(Criterios!B157="","",'Bueno')</f>
        <v/>
      </c>
      <c r="D749">
        <f>IF(Criterios!B157="","",Criterios!G157)</f>
        <v/>
      </c>
      <c r="E749">
        <f>IF(Criterios!B157="","",50)</f>
        <v/>
      </c>
      <c r="F749">
        <f>IF(Criterios!B157="","",Criterios!A157)</f>
        <v/>
      </c>
      <c r="G749">
        <f>IF(Criterios!B157="","",157)</f>
        <v/>
      </c>
    </row>
    <row r="750">
      <c r="A750">
        <f>IF(Criterios!B157="","",Criterios!B157)</f>
        <v/>
      </c>
      <c r="B750">
        <f>IF(Criterios!B157="","",Criterios!D157/100)</f>
        <v/>
      </c>
      <c r="C750">
        <f>IF(Criterios!B157="","",'Satisfactorio')</f>
        <v/>
      </c>
      <c r="D750">
        <f>IF(Criterios!B157="","",Criterios!H157)</f>
        <v/>
      </c>
      <c r="E750">
        <f>IF(Criterios!B157="","",75)</f>
        <v/>
      </c>
      <c r="F750">
        <f>IF(Criterios!B157="","",Criterios!A157)</f>
        <v/>
      </c>
      <c r="G750">
        <f>IF(Criterios!B157="","",157)</f>
        <v/>
      </c>
    </row>
    <row r="751">
      <c r="A751">
        <f>IF(Criterios!B157="","",Criterios!B157)</f>
        <v/>
      </c>
      <c r="B751">
        <f>IF(Criterios!B157="","",Criterios!D157/100)</f>
        <v/>
      </c>
      <c r="C751">
        <f>IF(Criterios!B157="","",'Excelente')</f>
        <v/>
      </c>
      <c r="D751">
        <f>IF(Criterios!B157="","",Criterios!I157)</f>
        <v/>
      </c>
      <c r="E751">
        <f>IF(Criterios!B157="","",100)</f>
        <v/>
      </c>
      <c r="F751">
        <f>IF(Criterios!B157="","",Criterios!A157)</f>
        <v/>
      </c>
      <c r="G751">
        <f>IF(Criterios!B157="","",157)</f>
        <v/>
      </c>
    </row>
    <row r="752">
      <c r="A752">
        <f>IF(Criterios!B158="","",Criterios!B158)</f>
        <v/>
      </c>
      <c r="B752">
        <f>IF(Criterios!B158="","",Criterios!D158/100)</f>
        <v/>
      </c>
      <c r="C752">
        <f>IF(Criterios!B158="","",'Insatisfactorio')</f>
        <v/>
      </c>
      <c r="D752">
        <f>IF(Criterios!B158="","",Criterios!E158)</f>
        <v/>
      </c>
      <c r="E752">
        <f>IF(Criterios!B158="","",0)</f>
        <v/>
      </c>
      <c r="F752">
        <f>IF(Criterios!B158="","",Criterios!A158)</f>
        <v/>
      </c>
      <c r="G752">
        <f>IF(Criterios!B158="","",158)</f>
        <v/>
      </c>
    </row>
    <row r="753">
      <c r="A753">
        <f>IF(Criterios!B158="","",Criterios!B158)</f>
        <v/>
      </c>
      <c r="B753">
        <f>IF(Criterios!B158="","",Criterios!D158/100)</f>
        <v/>
      </c>
      <c r="C753">
        <f>IF(Criterios!B158="","",'Necesitas_Mejorar')</f>
        <v/>
      </c>
      <c r="D753">
        <f>IF(Criterios!B158="","",Criterios!F158)</f>
        <v/>
      </c>
      <c r="E753">
        <f>IF(Criterios!B158="","",25)</f>
        <v/>
      </c>
      <c r="F753">
        <f>IF(Criterios!B158="","",Criterios!A158)</f>
        <v/>
      </c>
      <c r="G753">
        <f>IF(Criterios!B158="","",158)</f>
        <v/>
      </c>
    </row>
    <row r="754">
      <c r="A754">
        <f>IF(Criterios!B158="","",Criterios!B158)</f>
        <v/>
      </c>
      <c r="B754">
        <f>IF(Criterios!B158="","",Criterios!D158/100)</f>
        <v/>
      </c>
      <c r="C754">
        <f>IF(Criterios!B158="","",'Bueno')</f>
        <v/>
      </c>
      <c r="D754">
        <f>IF(Criterios!B158="","",Criterios!G158)</f>
        <v/>
      </c>
      <c r="E754">
        <f>IF(Criterios!B158="","",50)</f>
        <v/>
      </c>
      <c r="F754">
        <f>IF(Criterios!B158="","",Criterios!A158)</f>
        <v/>
      </c>
      <c r="G754">
        <f>IF(Criterios!B158="","",158)</f>
        <v/>
      </c>
    </row>
    <row r="755">
      <c r="A755">
        <f>IF(Criterios!B158="","",Criterios!B158)</f>
        <v/>
      </c>
      <c r="B755">
        <f>IF(Criterios!B158="","",Criterios!D158/100)</f>
        <v/>
      </c>
      <c r="C755">
        <f>IF(Criterios!B158="","",'Satisfactorio')</f>
        <v/>
      </c>
      <c r="D755">
        <f>IF(Criterios!B158="","",Criterios!H158)</f>
        <v/>
      </c>
      <c r="E755">
        <f>IF(Criterios!B158="","",75)</f>
        <v/>
      </c>
      <c r="F755">
        <f>IF(Criterios!B158="","",Criterios!A158)</f>
        <v/>
      </c>
      <c r="G755">
        <f>IF(Criterios!B158="","",158)</f>
        <v/>
      </c>
    </row>
    <row r="756">
      <c r="A756">
        <f>IF(Criterios!B158="","",Criterios!B158)</f>
        <v/>
      </c>
      <c r="B756">
        <f>IF(Criterios!B158="","",Criterios!D158/100)</f>
        <v/>
      </c>
      <c r="C756">
        <f>IF(Criterios!B158="","",'Excelente')</f>
        <v/>
      </c>
      <c r="D756">
        <f>IF(Criterios!B158="","",Criterios!I158)</f>
        <v/>
      </c>
      <c r="E756">
        <f>IF(Criterios!B158="","",100)</f>
        <v/>
      </c>
      <c r="F756">
        <f>IF(Criterios!B158="","",Criterios!A158)</f>
        <v/>
      </c>
      <c r="G756">
        <f>IF(Criterios!B158="","",158)</f>
        <v/>
      </c>
    </row>
    <row r="757">
      <c r="A757">
        <f>IF(Criterios!B159="","",Criterios!B159)</f>
        <v/>
      </c>
      <c r="B757">
        <f>IF(Criterios!B159="","",Criterios!D159/100)</f>
        <v/>
      </c>
      <c r="C757">
        <f>IF(Criterios!B159="","",'Insatisfactorio')</f>
        <v/>
      </c>
      <c r="D757">
        <f>IF(Criterios!B159="","",Criterios!E159)</f>
        <v/>
      </c>
      <c r="E757">
        <f>IF(Criterios!B159="","",0)</f>
        <v/>
      </c>
      <c r="F757">
        <f>IF(Criterios!B159="","",Criterios!A159)</f>
        <v/>
      </c>
      <c r="G757">
        <f>IF(Criterios!B159="","",159)</f>
        <v/>
      </c>
    </row>
    <row r="758">
      <c r="A758">
        <f>IF(Criterios!B159="","",Criterios!B159)</f>
        <v/>
      </c>
      <c r="B758">
        <f>IF(Criterios!B159="","",Criterios!D159/100)</f>
        <v/>
      </c>
      <c r="C758">
        <f>IF(Criterios!B159="","",'Necesitas_Mejorar')</f>
        <v/>
      </c>
      <c r="D758">
        <f>IF(Criterios!B159="","",Criterios!F159)</f>
        <v/>
      </c>
      <c r="E758">
        <f>IF(Criterios!B159="","",25)</f>
        <v/>
      </c>
      <c r="F758">
        <f>IF(Criterios!B159="","",Criterios!A159)</f>
        <v/>
      </c>
      <c r="G758">
        <f>IF(Criterios!B159="","",159)</f>
        <v/>
      </c>
    </row>
    <row r="759">
      <c r="A759">
        <f>IF(Criterios!B159="","",Criterios!B159)</f>
        <v/>
      </c>
      <c r="B759">
        <f>IF(Criterios!B159="","",Criterios!D159/100)</f>
        <v/>
      </c>
      <c r="C759">
        <f>IF(Criterios!B159="","",'Bueno')</f>
        <v/>
      </c>
      <c r="D759">
        <f>IF(Criterios!B159="","",Criterios!G159)</f>
        <v/>
      </c>
      <c r="E759">
        <f>IF(Criterios!B159="","",50)</f>
        <v/>
      </c>
      <c r="F759">
        <f>IF(Criterios!B159="","",Criterios!A159)</f>
        <v/>
      </c>
      <c r="G759">
        <f>IF(Criterios!B159="","",159)</f>
        <v/>
      </c>
    </row>
    <row r="760">
      <c r="A760">
        <f>IF(Criterios!B159="","",Criterios!B159)</f>
        <v/>
      </c>
      <c r="B760">
        <f>IF(Criterios!B159="","",Criterios!D159/100)</f>
        <v/>
      </c>
      <c r="C760">
        <f>IF(Criterios!B159="","",'Satisfactorio')</f>
        <v/>
      </c>
      <c r="D760">
        <f>IF(Criterios!B159="","",Criterios!H159)</f>
        <v/>
      </c>
      <c r="E760">
        <f>IF(Criterios!B159="","",75)</f>
        <v/>
      </c>
      <c r="F760">
        <f>IF(Criterios!B159="","",Criterios!A159)</f>
        <v/>
      </c>
      <c r="G760">
        <f>IF(Criterios!B159="","",159)</f>
        <v/>
      </c>
    </row>
    <row r="761">
      <c r="A761">
        <f>IF(Criterios!B159="","",Criterios!B159)</f>
        <v/>
      </c>
      <c r="B761">
        <f>IF(Criterios!B159="","",Criterios!D159/100)</f>
        <v/>
      </c>
      <c r="C761">
        <f>IF(Criterios!B159="","",'Excelente')</f>
        <v/>
      </c>
      <c r="D761">
        <f>IF(Criterios!B159="","",Criterios!I159)</f>
        <v/>
      </c>
      <c r="E761">
        <f>IF(Criterios!B159="","",100)</f>
        <v/>
      </c>
      <c r="F761">
        <f>IF(Criterios!B159="","",Criterios!A159)</f>
        <v/>
      </c>
      <c r="G761">
        <f>IF(Criterios!B159="","",159)</f>
        <v/>
      </c>
    </row>
    <row r="762">
      <c r="A762">
        <f>IF(Criterios!B160="","",Criterios!B160)</f>
        <v/>
      </c>
      <c r="B762">
        <f>IF(Criterios!B160="","",Criterios!D160/100)</f>
        <v/>
      </c>
      <c r="C762">
        <f>IF(Criterios!B160="","",'Insatisfactorio')</f>
        <v/>
      </c>
      <c r="D762">
        <f>IF(Criterios!B160="","",Criterios!E160)</f>
        <v/>
      </c>
      <c r="E762">
        <f>IF(Criterios!B160="","",0)</f>
        <v/>
      </c>
      <c r="F762">
        <f>IF(Criterios!B160="","",Criterios!A160)</f>
        <v/>
      </c>
      <c r="G762">
        <f>IF(Criterios!B160="","",160)</f>
        <v/>
      </c>
    </row>
    <row r="763">
      <c r="A763">
        <f>IF(Criterios!B160="","",Criterios!B160)</f>
        <v/>
      </c>
      <c r="B763">
        <f>IF(Criterios!B160="","",Criterios!D160/100)</f>
        <v/>
      </c>
      <c r="C763">
        <f>IF(Criterios!B160="","",'Necesitas_Mejorar')</f>
        <v/>
      </c>
      <c r="D763">
        <f>IF(Criterios!B160="","",Criterios!F160)</f>
        <v/>
      </c>
      <c r="E763">
        <f>IF(Criterios!B160="","",25)</f>
        <v/>
      </c>
      <c r="F763">
        <f>IF(Criterios!B160="","",Criterios!A160)</f>
        <v/>
      </c>
      <c r="G763">
        <f>IF(Criterios!B160="","",160)</f>
        <v/>
      </c>
    </row>
    <row r="764">
      <c r="A764">
        <f>IF(Criterios!B160="","",Criterios!B160)</f>
        <v/>
      </c>
      <c r="B764">
        <f>IF(Criterios!B160="","",Criterios!D160/100)</f>
        <v/>
      </c>
      <c r="C764">
        <f>IF(Criterios!B160="","",'Bueno')</f>
        <v/>
      </c>
      <c r="D764">
        <f>IF(Criterios!B160="","",Criterios!G160)</f>
        <v/>
      </c>
      <c r="E764">
        <f>IF(Criterios!B160="","",50)</f>
        <v/>
      </c>
      <c r="F764">
        <f>IF(Criterios!B160="","",Criterios!A160)</f>
        <v/>
      </c>
      <c r="G764">
        <f>IF(Criterios!B160="","",160)</f>
        <v/>
      </c>
    </row>
    <row r="765">
      <c r="A765">
        <f>IF(Criterios!B160="","",Criterios!B160)</f>
        <v/>
      </c>
      <c r="B765">
        <f>IF(Criterios!B160="","",Criterios!D160/100)</f>
        <v/>
      </c>
      <c r="C765">
        <f>IF(Criterios!B160="","",'Satisfactorio')</f>
        <v/>
      </c>
      <c r="D765">
        <f>IF(Criterios!B160="","",Criterios!H160)</f>
        <v/>
      </c>
      <c r="E765">
        <f>IF(Criterios!B160="","",75)</f>
        <v/>
      </c>
      <c r="F765">
        <f>IF(Criterios!B160="","",Criterios!A160)</f>
        <v/>
      </c>
      <c r="G765">
        <f>IF(Criterios!B160="","",160)</f>
        <v/>
      </c>
    </row>
    <row r="766">
      <c r="A766">
        <f>IF(Criterios!B160="","",Criterios!B160)</f>
        <v/>
      </c>
      <c r="B766">
        <f>IF(Criterios!B160="","",Criterios!D160/100)</f>
        <v/>
      </c>
      <c r="C766">
        <f>IF(Criterios!B160="","",'Excelente')</f>
        <v/>
      </c>
      <c r="D766">
        <f>IF(Criterios!B160="","",Criterios!I160)</f>
        <v/>
      </c>
      <c r="E766">
        <f>IF(Criterios!B160="","",100)</f>
        <v/>
      </c>
      <c r="F766">
        <f>IF(Criterios!B160="","",Criterios!A160)</f>
        <v/>
      </c>
      <c r="G766">
        <f>IF(Criterios!B160="","",160)</f>
        <v/>
      </c>
    </row>
    <row r="767">
      <c r="A767">
        <f>IF(Criterios!B161="","",Criterios!B161)</f>
        <v/>
      </c>
      <c r="B767">
        <f>IF(Criterios!B161="","",Criterios!D161/100)</f>
        <v/>
      </c>
      <c r="C767">
        <f>IF(Criterios!B161="","",'Insatisfactorio')</f>
        <v/>
      </c>
      <c r="D767">
        <f>IF(Criterios!B161="","",Criterios!E161)</f>
        <v/>
      </c>
      <c r="E767">
        <f>IF(Criterios!B161="","",0)</f>
        <v/>
      </c>
      <c r="F767">
        <f>IF(Criterios!B161="","",Criterios!A161)</f>
        <v/>
      </c>
      <c r="G767">
        <f>IF(Criterios!B161="","",161)</f>
        <v/>
      </c>
    </row>
    <row r="768">
      <c r="A768">
        <f>IF(Criterios!B161="","",Criterios!B161)</f>
        <v/>
      </c>
      <c r="B768">
        <f>IF(Criterios!B161="","",Criterios!D161/100)</f>
        <v/>
      </c>
      <c r="C768">
        <f>IF(Criterios!B161="","",'Necesitas_Mejorar')</f>
        <v/>
      </c>
      <c r="D768">
        <f>IF(Criterios!B161="","",Criterios!F161)</f>
        <v/>
      </c>
      <c r="E768">
        <f>IF(Criterios!B161="","",25)</f>
        <v/>
      </c>
      <c r="F768">
        <f>IF(Criterios!B161="","",Criterios!A161)</f>
        <v/>
      </c>
      <c r="G768">
        <f>IF(Criterios!B161="","",161)</f>
        <v/>
      </c>
    </row>
    <row r="769">
      <c r="A769">
        <f>IF(Criterios!B161="","",Criterios!B161)</f>
        <v/>
      </c>
      <c r="B769">
        <f>IF(Criterios!B161="","",Criterios!D161/100)</f>
        <v/>
      </c>
      <c r="C769">
        <f>IF(Criterios!B161="","",'Bueno')</f>
        <v/>
      </c>
      <c r="D769">
        <f>IF(Criterios!B161="","",Criterios!G161)</f>
        <v/>
      </c>
      <c r="E769">
        <f>IF(Criterios!B161="","",50)</f>
        <v/>
      </c>
      <c r="F769">
        <f>IF(Criterios!B161="","",Criterios!A161)</f>
        <v/>
      </c>
      <c r="G769">
        <f>IF(Criterios!B161="","",161)</f>
        <v/>
      </c>
    </row>
    <row r="770">
      <c r="A770">
        <f>IF(Criterios!B161="","",Criterios!B161)</f>
        <v/>
      </c>
      <c r="B770">
        <f>IF(Criterios!B161="","",Criterios!D161/100)</f>
        <v/>
      </c>
      <c r="C770">
        <f>IF(Criterios!B161="","",'Satisfactorio')</f>
        <v/>
      </c>
      <c r="D770">
        <f>IF(Criterios!B161="","",Criterios!H161)</f>
        <v/>
      </c>
      <c r="E770">
        <f>IF(Criterios!B161="","",75)</f>
        <v/>
      </c>
      <c r="F770">
        <f>IF(Criterios!B161="","",Criterios!A161)</f>
        <v/>
      </c>
      <c r="G770">
        <f>IF(Criterios!B161="","",161)</f>
        <v/>
      </c>
    </row>
    <row r="771">
      <c r="A771">
        <f>IF(Criterios!B161="","",Criterios!B161)</f>
        <v/>
      </c>
      <c r="B771">
        <f>IF(Criterios!B161="","",Criterios!D161/100)</f>
        <v/>
      </c>
      <c r="C771">
        <f>IF(Criterios!B161="","",'Excelente')</f>
        <v/>
      </c>
      <c r="D771">
        <f>IF(Criterios!B161="","",Criterios!I161)</f>
        <v/>
      </c>
      <c r="E771">
        <f>IF(Criterios!B161="","",100)</f>
        <v/>
      </c>
      <c r="F771">
        <f>IF(Criterios!B161="","",Criterios!A161)</f>
        <v/>
      </c>
      <c r="G771">
        <f>IF(Criterios!B161="","",161)</f>
        <v/>
      </c>
    </row>
    <row r="772">
      <c r="A772">
        <f>IF(Criterios!B162="","",Criterios!B162)</f>
        <v/>
      </c>
      <c r="B772">
        <f>IF(Criterios!B162="","",Criterios!D162/100)</f>
        <v/>
      </c>
      <c r="C772">
        <f>IF(Criterios!B162="","",'Insatisfactorio')</f>
        <v/>
      </c>
      <c r="D772">
        <f>IF(Criterios!B162="","",Criterios!E162)</f>
        <v/>
      </c>
      <c r="E772">
        <f>IF(Criterios!B162="","",0)</f>
        <v/>
      </c>
      <c r="F772">
        <f>IF(Criterios!B162="","",Criterios!A162)</f>
        <v/>
      </c>
      <c r="G772">
        <f>IF(Criterios!B162="","",162)</f>
        <v/>
      </c>
    </row>
    <row r="773">
      <c r="A773">
        <f>IF(Criterios!B162="","",Criterios!B162)</f>
        <v/>
      </c>
      <c r="B773">
        <f>IF(Criterios!B162="","",Criterios!D162/100)</f>
        <v/>
      </c>
      <c r="C773">
        <f>IF(Criterios!B162="","",'Necesitas_Mejorar')</f>
        <v/>
      </c>
      <c r="D773">
        <f>IF(Criterios!B162="","",Criterios!F162)</f>
        <v/>
      </c>
      <c r="E773">
        <f>IF(Criterios!B162="","",25)</f>
        <v/>
      </c>
      <c r="F773">
        <f>IF(Criterios!B162="","",Criterios!A162)</f>
        <v/>
      </c>
      <c r="G773">
        <f>IF(Criterios!B162="","",162)</f>
        <v/>
      </c>
    </row>
    <row r="774">
      <c r="A774">
        <f>IF(Criterios!B162="","",Criterios!B162)</f>
        <v/>
      </c>
      <c r="B774">
        <f>IF(Criterios!B162="","",Criterios!D162/100)</f>
        <v/>
      </c>
      <c r="C774">
        <f>IF(Criterios!B162="","",'Bueno')</f>
        <v/>
      </c>
      <c r="D774">
        <f>IF(Criterios!B162="","",Criterios!G162)</f>
        <v/>
      </c>
      <c r="E774">
        <f>IF(Criterios!B162="","",50)</f>
        <v/>
      </c>
      <c r="F774">
        <f>IF(Criterios!B162="","",Criterios!A162)</f>
        <v/>
      </c>
      <c r="G774">
        <f>IF(Criterios!B162="","",162)</f>
        <v/>
      </c>
    </row>
    <row r="775">
      <c r="A775">
        <f>IF(Criterios!B162="","",Criterios!B162)</f>
        <v/>
      </c>
      <c r="B775">
        <f>IF(Criterios!B162="","",Criterios!D162/100)</f>
        <v/>
      </c>
      <c r="C775">
        <f>IF(Criterios!B162="","",'Satisfactorio')</f>
        <v/>
      </c>
      <c r="D775">
        <f>IF(Criterios!B162="","",Criterios!H162)</f>
        <v/>
      </c>
      <c r="E775">
        <f>IF(Criterios!B162="","",75)</f>
        <v/>
      </c>
      <c r="F775">
        <f>IF(Criterios!B162="","",Criterios!A162)</f>
        <v/>
      </c>
      <c r="G775">
        <f>IF(Criterios!B162="","",162)</f>
        <v/>
      </c>
    </row>
    <row r="776">
      <c r="A776">
        <f>IF(Criterios!B162="","",Criterios!B162)</f>
        <v/>
      </c>
      <c r="B776">
        <f>IF(Criterios!B162="","",Criterios!D162/100)</f>
        <v/>
      </c>
      <c r="C776">
        <f>IF(Criterios!B162="","",'Excelente')</f>
        <v/>
      </c>
      <c r="D776">
        <f>IF(Criterios!B162="","",Criterios!I162)</f>
        <v/>
      </c>
      <c r="E776">
        <f>IF(Criterios!B162="","",100)</f>
        <v/>
      </c>
      <c r="F776">
        <f>IF(Criterios!B162="","",Criterios!A162)</f>
        <v/>
      </c>
      <c r="G776">
        <f>IF(Criterios!B162="","",162)</f>
        <v/>
      </c>
    </row>
    <row r="777">
      <c r="A777">
        <f>IF(Criterios!B163="","",Criterios!B163)</f>
        <v/>
      </c>
      <c r="B777">
        <f>IF(Criterios!B163="","",Criterios!D163/100)</f>
        <v/>
      </c>
      <c r="C777">
        <f>IF(Criterios!B163="","",'Insatisfactorio')</f>
        <v/>
      </c>
      <c r="D777">
        <f>IF(Criterios!B163="","",Criterios!E163)</f>
        <v/>
      </c>
      <c r="E777">
        <f>IF(Criterios!B163="","",0)</f>
        <v/>
      </c>
      <c r="F777">
        <f>IF(Criterios!B163="","",Criterios!A163)</f>
        <v/>
      </c>
      <c r="G777">
        <f>IF(Criterios!B163="","",163)</f>
        <v/>
      </c>
    </row>
    <row r="778">
      <c r="A778">
        <f>IF(Criterios!B163="","",Criterios!B163)</f>
        <v/>
      </c>
      <c r="B778">
        <f>IF(Criterios!B163="","",Criterios!D163/100)</f>
        <v/>
      </c>
      <c r="C778">
        <f>IF(Criterios!B163="","",'Necesitas_Mejorar')</f>
        <v/>
      </c>
      <c r="D778">
        <f>IF(Criterios!B163="","",Criterios!F163)</f>
        <v/>
      </c>
      <c r="E778">
        <f>IF(Criterios!B163="","",25)</f>
        <v/>
      </c>
      <c r="F778">
        <f>IF(Criterios!B163="","",Criterios!A163)</f>
        <v/>
      </c>
      <c r="G778">
        <f>IF(Criterios!B163="","",163)</f>
        <v/>
      </c>
    </row>
    <row r="779">
      <c r="A779">
        <f>IF(Criterios!B163="","",Criterios!B163)</f>
        <v/>
      </c>
      <c r="B779">
        <f>IF(Criterios!B163="","",Criterios!D163/100)</f>
        <v/>
      </c>
      <c r="C779">
        <f>IF(Criterios!B163="","",'Bueno')</f>
        <v/>
      </c>
      <c r="D779">
        <f>IF(Criterios!B163="","",Criterios!G163)</f>
        <v/>
      </c>
      <c r="E779">
        <f>IF(Criterios!B163="","",50)</f>
        <v/>
      </c>
      <c r="F779">
        <f>IF(Criterios!B163="","",Criterios!A163)</f>
        <v/>
      </c>
      <c r="G779">
        <f>IF(Criterios!B163="","",163)</f>
        <v/>
      </c>
    </row>
    <row r="780">
      <c r="A780">
        <f>IF(Criterios!B163="","",Criterios!B163)</f>
        <v/>
      </c>
      <c r="B780">
        <f>IF(Criterios!B163="","",Criterios!D163/100)</f>
        <v/>
      </c>
      <c r="C780">
        <f>IF(Criterios!B163="","",'Satisfactorio')</f>
        <v/>
      </c>
      <c r="D780">
        <f>IF(Criterios!B163="","",Criterios!H163)</f>
        <v/>
      </c>
      <c r="E780">
        <f>IF(Criterios!B163="","",75)</f>
        <v/>
      </c>
      <c r="F780">
        <f>IF(Criterios!B163="","",Criterios!A163)</f>
        <v/>
      </c>
      <c r="G780">
        <f>IF(Criterios!B163="","",163)</f>
        <v/>
      </c>
    </row>
    <row r="781">
      <c r="A781">
        <f>IF(Criterios!B163="","",Criterios!B163)</f>
        <v/>
      </c>
      <c r="B781">
        <f>IF(Criterios!B163="","",Criterios!D163/100)</f>
        <v/>
      </c>
      <c r="C781">
        <f>IF(Criterios!B163="","",'Excelente')</f>
        <v/>
      </c>
      <c r="D781">
        <f>IF(Criterios!B163="","",Criterios!I163)</f>
        <v/>
      </c>
      <c r="E781">
        <f>IF(Criterios!B163="","",100)</f>
        <v/>
      </c>
      <c r="F781">
        <f>IF(Criterios!B163="","",Criterios!A163)</f>
        <v/>
      </c>
      <c r="G781">
        <f>IF(Criterios!B163="","",163)</f>
        <v/>
      </c>
    </row>
    <row r="782">
      <c r="A782">
        <f>IF(Criterios!B164="","",Criterios!B164)</f>
        <v/>
      </c>
      <c r="B782">
        <f>IF(Criterios!B164="","",Criterios!D164/100)</f>
        <v/>
      </c>
      <c r="C782">
        <f>IF(Criterios!B164="","",'Insatisfactorio')</f>
        <v/>
      </c>
      <c r="D782">
        <f>IF(Criterios!B164="","",Criterios!E164)</f>
        <v/>
      </c>
      <c r="E782">
        <f>IF(Criterios!B164="","",0)</f>
        <v/>
      </c>
      <c r="F782">
        <f>IF(Criterios!B164="","",Criterios!A164)</f>
        <v/>
      </c>
      <c r="G782">
        <f>IF(Criterios!B164="","",164)</f>
        <v/>
      </c>
    </row>
    <row r="783">
      <c r="A783">
        <f>IF(Criterios!B164="","",Criterios!B164)</f>
        <v/>
      </c>
      <c r="B783">
        <f>IF(Criterios!B164="","",Criterios!D164/100)</f>
        <v/>
      </c>
      <c r="C783">
        <f>IF(Criterios!B164="","",'Necesitas_Mejorar')</f>
        <v/>
      </c>
      <c r="D783">
        <f>IF(Criterios!B164="","",Criterios!F164)</f>
        <v/>
      </c>
      <c r="E783">
        <f>IF(Criterios!B164="","",25)</f>
        <v/>
      </c>
      <c r="F783">
        <f>IF(Criterios!B164="","",Criterios!A164)</f>
        <v/>
      </c>
      <c r="G783">
        <f>IF(Criterios!B164="","",164)</f>
        <v/>
      </c>
    </row>
    <row r="784">
      <c r="A784">
        <f>IF(Criterios!B164="","",Criterios!B164)</f>
        <v/>
      </c>
      <c r="B784">
        <f>IF(Criterios!B164="","",Criterios!D164/100)</f>
        <v/>
      </c>
      <c r="C784">
        <f>IF(Criterios!B164="","",'Bueno')</f>
        <v/>
      </c>
      <c r="D784">
        <f>IF(Criterios!B164="","",Criterios!G164)</f>
        <v/>
      </c>
      <c r="E784">
        <f>IF(Criterios!B164="","",50)</f>
        <v/>
      </c>
      <c r="F784">
        <f>IF(Criterios!B164="","",Criterios!A164)</f>
        <v/>
      </c>
      <c r="G784">
        <f>IF(Criterios!B164="","",164)</f>
        <v/>
      </c>
    </row>
    <row r="785">
      <c r="A785">
        <f>IF(Criterios!B164="","",Criterios!B164)</f>
        <v/>
      </c>
      <c r="B785">
        <f>IF(Criterios!B164="","",Criterios!D164/100)</f>
        <v/>
      </c>
      <c r="C785">
        <f>IF(Criterios!B164="","",'Satisfactorio')</f>
        <v/>
      </c>
      <c r="D785">
        <f>IF(Criterios!B164="","",Criterios!H164)</f>
        <v/>
      </c>
      <c r="E785">
        <f>IF(Criterios!B164="","",75)</f>
        <v/>
      </c>
      <c r="F785">
        <f>IF(Criterios!B164="","",Criterios!A164)</f>
        <v/>
      </c>
      <c r="G785">
        <f>IF(Criterios!B164="","",164)</f>
        <v/>
      </c>
    </row>
    <row r="786">
      <c r="A786">
        <f>IF(Criterios!B164="","",Criterios!B164)</f>
        <v/>
      </c>
      <c r="B786">
        <f>IF(Criterios!B164="","",Criterios!D164/100)</f>
        <v/>
      </c>
      <c r="C786">
        <f>IF(Criterios!B164="","",'Excelente')</f>
        <v/>
      </c>
      <c r="D786">
        <f>IF(Criterios!B164="","",Criterios!I164)</f>
        <v/>
      </c>
      <c r="E786">
        <f>IF(Criterios!B164="","",100)</f>
        <v/>
      </c>
      <c r="F786">
        <f>IF(Criterios!B164="","",Criterios!A164)</f>
        <v/>
      </c>
      <c r="G786">
        <f>IF(Criterios!B164="","",164)</f>
        <v/>
      </c>
    </row>
    <row r="787">
      <c r="A787">
        <f>IF(Criterios!B165="","",Criterios!B165)</f>
        <v/>
      </c>
      <c r="B787">
        <f>IF(Criterios!B165="","",Criterios!D165/100)</f>
        <v/>
      </c>
      <c r="C787">
        <f>IF(Criterios!B165="","",'Insatisfactorio')</f>
        <v/>
      </c>
      <c r="D787">
        <f>IF(Criterios!B165="","",Criterios!E165)</f>
        <v/>
      </c>
      <c r="E787">
        <f>IF(Criterios!B165="","",0)</f>
        <v/>
      </c>
      <c r="F787">
        <f>IF(Criterios!B165="","",Criterios!A165)</f>
        <v/>
      </c>
      <c r="G787">
        <f>IF(Criterios!B165="","",165)</f>
        <v/>
      </c>
    </row>
    <row r="788">
      <c r="A788">
        <f>IF(Criterios!B165="","",Criterios!B165)</f>
        <v/>
      </c>
      <c r="B788">
        <f>IF(Criterios!B165="","",Criterios!D165/100)</f>
        <v/>
      </c>
      <c r="C788">
        <f>IF(Criterios!B165="","",'Necesitas_Mejorar')</f>
        <v/>
      </c>
      <c r="D788">
        <f>IF(Criterios!B165="","",Criterios!F165)</f>
        <v/>
      </c>
      <c r="E788">
        <f>IF(Criterios!B165="","",25)</f>
        <v/>
      </c>
      <c r="F788">
        <f>IF(Criterios!B165="","",Criterios!A165)</f>
        <v/>
      </c>
      <c r="G788">
        <f>IF(Criterios!B165="","",165)</f>
        <v/>
      </c>
    </row>
    <row r="789">
      <c r="A789">
        <f>IF(Criterios!B165="","",Criterios!B165)</f>
        <v/>
      </c>
      <c r="B789">
        <f>IF(Criterios!B165="","",Criterios!D165/100)</f>
        <v/>
      </c>
      <c r="C789">
        <f>IF(Criterios!B165="","",'Bueno')</f>
        <v/>
      </c>
      <c r="D789">
        <f>IF(Criterios!B165="","",Criterios!G165)</f>
        <v/>
      </c>
      <c r="E789">
        <f>IF(Criterios!B165="","",50)</f>
        <v/>
      </c>
      <c r="F789">
        <f>IF(Criterios!B165="","",Criterios!A165)</f>
        <v/>
      </c>
      <c r="G789">
        <f>IF(Criterios!B165="","",165)</f>
        <v/>
      </c>
    </row>
    <row r="790">
      <c r="A790">
        <f>IF(Criterios!B165="","",Criterios!B165)</f>
        <v/>
      </c>
      <c r="B790">
        <f>IF(Criterios!B165="","",Criterios!D165/100)</f>
        <v/>
      </c>
      <c r="C790">
        <f>IF(Criterios!B165="","",'Satisfactorio')</f>
        <v/>
      </c>
      <c r="D790">
        <f>IF(Criterios!B165="","",Criterios!H165)</f>
        <v/>
      </c>
      <c r="E790">
        <f>IF(Criterios!B165="","",75)</f>
        <v/>
      </c>
      <c r="F790">
        <f>IF(Criterios!B165="","",Criterios!A165)</f>
        <v/>
      </c>
      <c r="G790">
        <f>IF(Criterios!B165="","",165)</f>
        <v/>
      </c>
    </row>
    <row r="791">
      <c r="A791">
        <f>IF(Criterios!B165="","",Criterios!B165)</f>
        <v/>
      </c>
      <c r="B791">
        <f>IF(Criterios!B165="","",Criterios!D165/100)</f>
        <v/>
      </c>
      <c r="C791">
        <f>IF(Criterios!B165="","",'Excelente')</f>
        <v/>
      </c>
      <c r="D791">
        <f>IF(Criterios!B165="","",Criterios!I165)</f>
        <v/>
      </c>
      <c r="E791">
        <f>IF(Criterios!B165="","",100)</f>
        <v/>
      </c>
      <c r="F791">
        <f>IF(Criterios!B165="","",Criterios!A165)</f>
        <v/>
      </c>
      <c r="G791">
        <f>IF(Criterios!B165="","",165)</f>
        <v/>
      </c>
    </row>
    <row r="792">
      <c r="A792">
        <f>IF(Criterios!B166="","",Criterios!B166)</f>
        <v/>
      </c>
      <c r="B792">
        <f>IF(Criterios!B166="","",Criterios!D166/100)</f>
        <v/>
      </c>
      <c r="C792">
        <f>IF(Criterios!B166="","",'Insatisfactorio')</f>
        <v/>
      </c>
      <c r="D792">
        <f>IF(Criterios!B166="","",Criterios!E166)</f>
        <v/>
      </c>
      <c r="E792">
        <f>IF(Criterios!B166="","",0)</f>
        <v/>
      </c>
      <c r="F792">
        <f>IF(Criterios!B166="","",Criterios!A166)</f>
        <v/>
      </c>
      <c r="G792">
        <f>IF(Criterios!B166="","",166)</f>
        <v/>
      </c>
    </row>
    <row r="793">
      <c r="A793">
        <f>IF(Criterios!B166="","",Criterios!B166)</f>
        <v/>
      </c>
      <c r="B793">
        <f>IF(Criterios!B166="","",Criterios!D166/100)</f>
        <v/>
      </c>
      <c r="C793">
        <f>IF(Criterios!B166="","",'Necesitas_Mejorar')</f>
        <v/>
      </c>
      <c r="D793">
        <f>IF(Criterios!B166="","",Criterios!F166)</f>
        <v/>
      </c>
      <c r="E793">
        <f>IF(Criterios!B166="","",25)</f>
        <v/>
      </c>
      <c r="F793">
        <f>IF(Criterios!B166="","",Criterios!A166)</f>
        <v/>
      </c>
      <c r="G793">
        <f>IF(Criterios!B166="","",166)</f>
        <v/>
      </c>
    </row>
    <row r="794">
      <c r="A794">
        <f>IF(Criterios!B166="","",Criterios!B166)</f>
        <v/>
      </c>
      <c r="B794">
        <f>IF(Criterios!B166="","",Criterios!D166/100)</f>
        <v/>
      </c>
      <c r="C794">
        <f>IF(Criterios!B166="","",'Bueno')</f>
        <v/>
      </c>
      <c r="D794">
        <f>IF(Criterios!B166="","",Criterios!G166)</f>
        <v/>
      </c>
      <c r="E794">
        <f>IF(Criterios!B166="","",50)</f>
        <v/>
      </c>
      <c r="F794">
        <f>IF(Criterios!B166="","",Criterios!A166)</f>
        <v/>
      </c>
      <c r="G794">
        <f>IF(Criterios!B166="","",166)</f>
        <v/>
      </c>
    </row>
    <row r="795">
      <c r="A795">
        <f>IF(Criterios!B166="","",Criterios!B166)</f>
        <v/>
      </c>
      <c r="B795">
        <f>IF(Criterios!B166="","",Criterios!D166/100)</f>
        <v/>
      </c>
      <c r="C795">
        <f>IF(Criterios!B166="","",'Satisfactorio')</f>
        <v/>
      </c>
      <c r="D795">
        <f>IF(Criterios!B166="","",Criterios!H166)</f>
        <v/>
      </c>
      <c r="E795">
        <f>IF(Criterios!B166="","",75)</f>
        <v/>
      </c>
      <c r="F795">
        <f>IF(Criterios!B166="","",Criterios!A166)</f>
        <v/>
      </c>
      <c r="G795">
        <f>IF(Criterios!B166="","",166)</f>
        <v/>
      </c>
    </row>
    <row r="796">
      <c r="A796">
        <f>IF(Criterios!B166="","",Criterios!B166)</f>
        <v/>
      </c>
      <c r="B796">
        <f>IF(Criterios!B166="","",Criterios!D166/100)</f>
        <v/>
      </c>
      <c r="C796">
        <f>IF(Criterios!B166="","",'Excelente')</f>
        <v/>
      </c>
      <c r="D796">
        <f>IF(Criterios!B166="","",Criterios!I166)</f>
        <v/>
      </c>
      <c r="E796">
        <f>IF(Criterios!B166="","",100)</f>
        <v/>
      </c>
      <c r="F796">
        <f>IF(Criterios!B166="","",Criterios!A166)</f>
        <v/>
      </c>
      <c r="G796">
        <f>IF(Criterios!B166="","",166)</f>
        <v/>
      </c>
    </row>
    <row r="797">
      <c r="A797">
        <f>IF(Criterios!B167="","",Criterios!B167)</f>
        <v/>
      </c>
      <c r="B797">
        <f>IF(Criterios!B167="","",Criterios!D167/100)</f>
        <v/>
      </c>
      <c r="C797">
        <f>IF(Criterios!B167="","",'Insatisfactorio')</f>
        <v/>
      </c>
      <c r="D797">
        <f>IF(Criterios!B167="","",Criterios!E167)</f>
        <v/>
      </c>
      <c r="E797">
        <f>IF(Criterios!B167="","",0)</f>
        <v/>
      </c>
      <c r="F797">
        <f>IF(Criterios!B167="","",Criterios!A167)</f>
        <v/>
      </c>
      <c r="G797">
        <f>IF(Criterios!B167="","",167)</f>
        <v/>
      </c>
    </row>
    <row r="798">
      <c r="A798">
        <f>IF(Criterios!B167="","",Criterios!B167)</f>
        <v/>
      </c>
      <c r="B798">
        <f>IF(Criterios!B167="","",Criterios!D167/100)</f>
        <v/>
      </c>
      <c r="C798">
        <f>IF(Criterios!B167="","",'Necesitas_Mejorar')</f>
        <v/>
      </c>
      <c r="D798">
        <f>IF(Criterios!B167="","",Criterios!F167)</f>
        <v/>
      </c>
      <c r="E798">
        <f>IF(Criterios!B167="","",25)</f>
        <v/>
      </c>
      <c r="F798">
        <f>IF(Criterios!B167="","",Criterios!A167)</f>
        <v/>
      </c>
      <c r="G798">
        <f>IF(Criterios!B167="","",167)</f>
        <v/>
      </c>
    </row>
    <row r="799">
      <c r="A799">
        <f>IF(Criterios!B167="","",Criterios!B167)</f>
        <v/>
      </c>
      <c r="B799">
        <f>IF(Criterios!B167="","",Criterios!D167/100)</f>
        <v/>
      </c>
      <c r="C799">
        <f>IF(Criterios!B167="","",'Bueno')</f>
        <v/>
      </c>
      <c r="D799">
        <f>IF(Criterios!B167="","",Criterios!G167)</f>
        <v/>
      </c>
      <c r="E799">
        <f>IF(Criterios!B167="","",50)</f>
        <v/>
      </c>
      <c r="F799">
        <f>IF(Criterios!B167="","",Criterios!A167)</f>
        <v/>
      </c>
      <c r="G799">
        <f>IF(Criterios!B167="","",167)</f>
        <v/>
      </c>
    </row>
    <row r="800">
      <c r="A800">
        <f>IF(Criterios!B167="","",Criterios!B167)</f>
        <v/>
      </c>
      <c r="B800">
        <f>IF(Criterios!B167="","",Criterios!D167/100)</f>
        <v/>
      </c>
      <c r="C800">
        <f>IF(Criterios!B167="","",'Satisfactorio')</f>
        <v/>
      </c>
      <c r="D800">
        <f>IF(Criterios!B167="","",Criterios!H167)</f>
        <v/>
      </c>
      <c r="E800">
        <f>IF(Criterios!B167="","",75)</f>
        <v/>
      </c>
      <c r="F800">
        <f>IF(Criterios!B167="","",Criterios!A167)</f>
        <v/>
      </c>
      <c r="G800">
        <f>IF(Criterios!B167="","",167)</f>
        <v/>
      </c>
    </row>
    <row r="801">
      <c r="A801">
        <f>IF(Criterios!B167="","",Criterios!B167)</f>
        <v/>
      </c>
      <c r="B801">
        <f>IF(Criterios!B167="","",Criterios!D167/100)</f>
        <v/>
      </c>
      <c r="C801">
        <f>IF(Criterios!B167="","",'Excelente')</f>
        <v/>
      </c>
      <c r="D801">
        <f>IF(Criterios!B167="","",Criterios!I167)</f>
        <v/>
      </c>
      <c r="E801">
        <f>IF(Criterios!B167="","",100)</f>
        <v/>
      </c>
      <c r="F801">
        <f>IF(Criterios!B167="","",Criterios!A167)</f>
        <v/>
      </c>
      <c r="G801">
        <f>IF(Criterios!B167="","",167)</f>
        <v/>
      </c>
    </row>
    <row r="802">
      <c r="A802">
        <f>IF(Criterios!B168="","",Criterios!B168)</f>
        <v/>
      </c>
      <c r="B802">
        <f>IF(Criterios!B168="","",Criterios!D168/100)</f>
        <v/>
      </c>
      <c r="C802">
        <f>IF(Criterios!B168="","",'Insatisfactorio')</f>
        <v/>
      </c>
      <c r="D802">
        <f>IF(Criterios!B168="","",Criterios!E168)</f>
        <v/>
      </c>
      <c r="E802">
        <f>IF(Criterios!B168="","",0)</f>
        <v/>
      </c>
      <c r="F802">
        <f>IF(Criterios!B168="","",Criterios!A168)</f>
        <v/>
      </c>
      <c r="G802">
        <f>IF(Criterios!B168="","",168)</f>
        <v/>
      </c>
    </row>
    <row r="803">
      <c r="A803">
        <f>IF(Criterios!B168="","",Criterios!B168)</f>
        <v/>
      </c>
      <c r="B803">
        <f>IF(Criterios!B168="","",Criterios!D168/100)</f>
        <v/>
      </c>
      <c r="C803">
        <f>IF(Criterios!B168="","",'Necesitas_Mejorar')</f>
        <v/>
      </c>
      <c r="D803">
        <f>IF(Criterios!B168="","",Criterios!F168)</f>
        <v/>
      </c>
      <c r="E803">
        <f>IF(Criterios!B168="","",25)</f>
        <v/>
      </c>
      <c r="F803">
        <f>IF(Criterios!B168="","",Criterios!A168)</f>
        <v/>
      </c>
      <c r="G803">
        <f>IF(Criterios!B168="","",168)</f>
        <v/>
      </c>
    </row>
    <row r="804">
      <c r="A804">
        <f>IF(Criterios!B168="","",Criterios!B168)</f>
        <v/>
      </c>
      <c r="B804">
        <f>IF(Criterios!B168="","",Criterios!D168/100)</f>
        <v/>
      </c>
      <c r="C804">
        <f>IF(Criterios!B168="","",'Bueno')</f>
        <v/>
      </c>
      <c r="D804">
        <f>IF(Criterios!B168="","",Criterios!G168)</f>
        <v/>
      </c>
      <c r="E804">
        <f>IF(Criterios!B168="","",50)</f>
        <v/>
      </c>
      <c r="F804">
        <f>IF(Criterios!B168="","",Criterios!A168)</f>
        <v/>
      </c>
      <c r="G804">
        <f>IF(Criterios!B168="","",168)</f>
        <v/>
      </c>
    </row>
    <row r="805">
      <c r="A805">
        <f>IF(Criterios!B168="","",Criterios!B168)</f>
        <v/>
      </c>
      <c r="B805">
        <f>IF(Criterios!B168="","",Criterios!D168/100)</f>
        <v/>
      </c>
      <c r="C805">
        <f>IF(Criterios!B168="","",'Satisfactorio')</f>
        <v/>
      </c>
      <c r="D805">
        <f>IF(Criterios!B168="","",Criterios!H168)</f>
        <v/>
      </c>
      <c r="E805">
        <f>IF(Criterios!B168="","",75)</f>
        <v/>
      </c>
      <c r="F805">
        <f>IF(Criterios!B168="","",Criterios!A168)</f>
        <v/>
      </c>
      <c r="G805">
        <f>IF(Criterios!B168="","",168)</f>
        <v/>
      </c>
    </row>
    <row r="806">
      <c r="A806">
        <f>IF(Criterios!B168="","",Criterios!B168)</f>
        <v/>
      </c>
      <c r="B806">
        <f>IF(Criterios!B168="","",Criterios!D168/100)</f>
        <v/>
      </c>
      <c r="C806">
        <f>IF(Criterios!B168="","",'Excelente')</f>
        <v/>
      </c>
      <c r="D806">
        <f>IF(Criterios!B168="","",Criterios!I168)</f>
        <v/>
      </c>
      <c r="E806">
        <f>IF(Criterios!B168="","",100)</f>
        <v/>
      </c>
      <c r="F806">
        <f>IF(Criterios!B168="","",Criterios!A168)</f>
        <v/>
      </c>
      <c r="G806">
        <f>IF(Criterios!B168="","",168)</f>
        <v/>
      </c>
    </row>
    <row r="807">
      <c r="A807">
        <f>IF(Criterios!B169="","",Criterios!B169)</f>
        <v/>
      </c>
      <c r="B807">
        <f>IF(Criterios!B169="","",Criterios!D169/100)</f>
        <v/>
      </c>
      <c r="C807">
        <f>IF(Criterios!B169="","",'Insatisfactorio')</f>
        <v/>
      </c>
      <c r="D807">
        <f>IF(Criterios!B169="","",Criterios!E169)</f>
        <v/>
      </c>
      <c r="E807">
        <f>IF(Criterios!B169="","",0)</f>
        <v/>
      </c>
      <c r="F807">
        <f>IF(Criterios!B169="","",Criterios!A169)</f>
        <v/>
      </c>
      <c r="G807">
        <f>IF(Criterios!B169="","",169)</f>
        <v/>
      </c>
    </row>
    <row r="808">
      <c r="A808">
        <f>IF(Criterios!B169="","",Criterios!B169)</f>
        <v/>
      </c>
      <c r="B808">
        <f>IF(Criterios!B169="","",Criterios!D169/100)</f>
        <v/>
      </c>
      <c r="C808">
        <f>IF(Criterios!B169="","",'Necesitas_Mejorar')</f>
        <v/>
      </c>
      <c r="D808">
        <f>IF(Criterios!B169="","",Criterios!F169)</f>
        <v/>
      </c>
      <c r="E808">
        <f>IF(Criterios!B169="","",25)</f>
        <v/>
      </c>
      <c r="F808">
        <f>IF(Criterios!B169="","",Criterios!A169)</f>
        <v/>
      </c>
      <c r="G808">
        <f>IF(Criterios!B169="","",169)</f>
        <v/>
      </c>
    </row>
    <row r="809">
      <c r="A809">
        <f>IF(Criterios!B169="","",Criterios!B169)</f>
        <v/>
      </c>
      <c r="B809">
        <f>IF(Criterios!B169="","",Criterios!D169/100)</f>
        <v/>
      </c>
      <c r="C809">
        <f>IF(Criterios!B169="","",'Bueno')</f>
        <v/>
      </c>
      <c r="D809">
        <f>IF(Criterios!B169="","",Criterios!G169)</f>
        <v/>
      </c>
      <c r="E809">
        <f>IF(Criterios!B169="","",50)</f>
        <v/>
      </c>
      <c r="F809">
        <f>IF(Criterios!B169="","",Criterios!A169)</f>
        <v/>
      </c>
      <c r="G809">
        <f>IF(Criterios!B169="","",169)</f>
        <v/>
      </c>
    </row>
    <row r="810">
      <c r="A810">
        <f>IF(Criterios!B169="","",Criterios!B169)</f>
        <v/>
      </c>
      <c r="B810">
        <f>IF(Criterios!B169="","",Criterios!D169/100)</f>
        <v/>
      </c>
      <c r="C810">
        <f>IF(Criterios!B169="","",'Satisfactorio')</f>
        <v/>
      </c>
      <c r="D810">
        <f>IF(Criterios!B169="","",Criterios!H169)</f>
        <v/>
      </c>
      <c r="E810">
        <f>IF(Criterios!B169="","",75)</f>
        <v/>
      </c>
      <c r="F810">
        <f>IF(Criterios!B169="","",Criterios!A169)</f>
        <v/>
      </c>
      <c r="G810">
        <f>IF(Criterios!B169="","",169)</f>
        <v/>
      </c>
    </row>
    <row r="811">
      <c r="A811">
        <f>IF(Criterios!B169="","",Criterios!B169)</f>
        <v/>
      </c>
      <c r="B811">
        <f>IF(Criterios!B169="","",Criterios!D169/100)</f>
        <v/>
      </c>
      <c r="C811">
        <f>IF(Criterios!B169="","",'Excelente')</f>
        <v/>
      </c>
      <c r="D811">
        <f>IF(Criterios!B169="","",Criterios!I169)</f>
        <v/>
      </c>
      <c r="E811">
        <f>IF(Criterios!B169="","",100)</f>
        <v/>
      </c>
      <c r="F811">
        <f>IF(Criterios!B169="","",Criterios!A169)</f>
        <v/>
      </c>
      <c r="G811">
        <f>IF(Criterios!B169="","",169)</f>
        <v/>
      </c>
    </row>
    <row r="812">
      <c r="A812">
        <f>IF(Criterios!B170="","",Criterios!B170)</f>
        <v/>
      </c>
      <c r="B812">
        <f>IF(Criterios!B170="","",Criterios!D170/100)</f>
        <v/>
      </c>
      <c r="C812">
        <f>IF(Criterios!B170="","",'Insatisfactorio')</f>
        <v/>
      </c>
      <c r="D812">
        <f>IF(Criterios!B170="","",Criterios!E170)</f>
        <v/>
      </c>
      <c r="E812">
        <f>IF(Criterios!B170="","",0)</f>
        <v/>
      </c>
      <c r="F812">
        <f>IF(Criterios!B170="","",Criterios!A170)</f>
        <v/>
      </c>
      <c r="G812">
        <f>IF(Criterios!B170="","",170)</f>
        <v/>
      </c>
    </row>
    <row r="813">
      <c r="A813">
        <f>IF(Criterios!B170="","",Criterios!B170)</f>
        <v/>
      </c>
      <c r="B813">
        <f>IF(Criterios!B170="","",Criterios!D170/100)</f>
        <v/>
      </c>
      <c r="C813">
        <f>IF(Criterios!B170="","",'Necesitas_Mejorar')</f>
        <v/>
      </c>
      <c r="D813">
        <f>IF(Criterios!B170="","",Criterios!F170)</f>
        <v/>
      </c>
      <c r="E813">
        <f>IF(Criterios!B170="","",25)</f>
        <v/>
      </c>
      <c r="F813">
        <f>IF(Criterios!B170="","",Criterios!A170)</f>
        <v/>
      </c>
      <c r="G813">
        <f>IF(Criterios!B170="","",170)</f>
        <v/>
      </c>
    </row>
    <row r="814">
      <c r="A814">
        <f>IF(Criterios!B170="","",Criterios!B170)</f>
        <v/>
      </c>
      <c r="B814">
        <f>IF(Criterios!B170="","",Criterios!D170/100)</f>
        <v/>
      </c>
      <c r="C814">
        <f>IF(Criterios!B170="","",'Bueno')</f>
        <v/>
      </c>
      <c r="D814">
        <f>IF(Criterios!B170="","",Criterios!G170)</f>
        <v/>
      </c>
      <c r="E814">
        <f>IF(Criterios!B170="","",50)</f>
        <v/>
      </c>
      <c r="F814">
        <f>IF(Criterios!B170="","",Criterios!A170)</f>
        <v/>
      </c>
      <c r="G814">
        <f>IF(Criterios!B170="","",170)</f>
        <v/>
      </c>
    </row>
    <row r="815">
      <c r="A815">
        <f>IF(Criterios!B170="","",Criterios!B170)</f>
        <v/>
      </c>
      <c r="B815">
        <f>IF(Criterios!B170="","",Criterios!D170/100)</f>
        <v/>
      </c>
      <c r="C815">
        <f>IF(Criterios!B170="","",'Satisfactorio')</f>
        <v/>
      </c>
      <c r="D815">
        <f>IF(Criterios!B170="","",Criterios!H170)</f>
        <v/>
      </c>
      <c r="E815">
        <f>IF(Criterios!B170="","",75)</f>
        <v/>
      </c>
      <c r="F815">
        <f>IF(Criterios!B170="","",Criterios!A170)</f>
        <v/>
      </c>
      <c r="G815">
        <f>IF(Criterios!B170="","",170)</f>
        <v/>
      </c>
    </row>
    <row r="816">
      <c r="A816">
        <f>IF(Criterios!B170="","",Criterios!B170)</f>
        <v/>
      </c>
      <c r="B816">
        <f>IF(Criterios!B170="","",Criterios!D170/100)</f>
        <v/>
      </c>
      <c r="C816">
        <f>IF(Criterios!B170="","",'Excelente')</f>
        <v/>
      </c>
      <c r="D816">
        <f>IF(Criterios!B170="","",Criterios!I170)</f>
        <v/>
      </c>
      <c r="E816">
        <f>IF(Criterios!B170="","",100)</f>
        <v/>
      </c>
      <c r="F816">
        <f>IF(Criterios!B170="","",Criterios!A170)</f>
        <v/>
      </c>
      <c r="G816">
        <f>IF(Criterios!B170="","",170)</f>
        <v/>
      </c>
    </row>
    <row r="817">
      <c r="A817">
        <f>IF(Criterios!B171="","",Criterios!B171)</f>
        <v/>
      </c>
      <c r="B817">
        <f>IF(Criterios!B171="","",Criterios!D171/100)</f>
        <v/>
      </c>
      <c r="C817">
        <f>IF(Criterios!B171="","",'Insatisfactorio')</f>
        <v/>
      </c>
      <c r="D817">
        <f>IF(Criterios!B171="","",Criterios!E171)</f>
        <v/>
      </c>
      <c r="E817">
        <f>IF(Criterios!B171="","",0)</f>
        <v/>
      </c>
      <c r="F817">
        <f>IF(Criterios!B171="","",Criterios!A171)</f>
        <v/>
      </c>
      <c r="G817">
        <f>IF(Criterios!B171="","",171)</f>
        <v/>
      </c>
    </row>
    <row r="818">
      <c r="A818">
        <f>IF(Criterios!B171="","",Criterios!B171)</f>
        <v/>
      </c>
      <c r="B818">
        <f>IF(Criterios!B171="","",Criterios!D171/100)</f>
        <v/>
      </c>
      <c r="C818">
        <f>IF(Criterios!B171="","",'Necesitas_Mejorar')</f>
        <v/>
      </c>
      <c r="D818">
        <f>IF(Criterios!B171="","",Criterios!F171)</f>
        <v/>
      </c>
      <c r="E818">
        <f>IF(Criterios!B171="","",25)</f>
        <v/>
      </c>
      <c r="F818">
        <f>IF(Criterios!B171="","",Criterios!A171)</f>
        <v/>
      </c>
      <c r="G818">
        <f>IF(Criterios!B171="","",171)</f>
        <v/>
      </c>
    </row>
    <row r="819">
      <c r="A819">
        <f>IF(Criterios!B171="","",Criterios!B171)</f>
        <v/>
      </c>
      <c r="B819">
        <f>IF(Criterios!B171="","",Criterios!D171/100)</f>
        <v/>
      </c>
      <c r="C819">
        <f>IF(Criterios!B171="","",'Bueno')</f>
        <v/>
      </c>
      <c r="D819">
        <f>IF(Criterios!B171="","",Criterios!G171)</f>
        <v/>
      </c>
      <c r="E819">
        <f>IF(Criterios!B171="","",50)</f>
        <v/>
      </c>
      <c r="F819">
        <f>IF(Criterios!B171="","",Criterios!A171)</f>
        <v/>
      </c>
      <c r="G819">
        <f>IF(Criterios!B171="","",171)</f>
        <v/>
      </c>
    </row>
    <row r="820">
      <c r="A820">
        <f>IF(Criterios!B171="","",Criterios!B171)</f>
        <v/>
      </c>
      <c r="B820">
        <f>IF(Criterios!B171="","",Criterios!D171/100)</f>
        <v/>
      </c>
      <c r="C820">
        <f>IF(Criterios!B171="","",'Satisfactorio')</f>
        <v/>
      </c>
      <c r="D820">
        <f>IF(Criterios!B171="","",Criterios!H171)</f>
        <v/>
      </c>
      <c r="E820">
        <f>IF(Criterios!B171="","",75)</f>
        <v/>
      </c>
      <c r="F820">
        <f>IF(Criterios!B171="","",Criterios!A171)</f>
        <v/>
      </c>
      <c r="G820">
        <f>IF(Criterios!B171="","",171)</f>
        <v/>
      </c>
    </row>
    <row r="821">
      <c r="A821">
        <f>IF(Criterios!B171="","",Criterios!B171)</f>
        <v/>
      </c>
      <c r="B821">
        <f>IF(Criterios!B171="","",Criterios!D171/100)</f>
        <v/>
      </c>
      <c r="C821">
        <f>IF(Criterios!B171="","",'Excelente')</f>
        <v/>
      </c>
      <c r="D821">
        <f>IF(Criterios!B171="","",Criterios!I171)</f>
        <v/>
      </c>
      <c r="E821">
        <f>IF(Criterios!B171="","",100)</f>
        <v/>
      </c>
      <c r="F821">
        <f>IF(Criterios!B171="","",Criterios!A171)</f>
        <v/>
      </c>
      <c r="G821">
        <f>IF(Criterios!B171="","",171)</f>
        <v/>
      </c>
    </row>
    <row r="822">
      <c r="A822">
        <f>IF(Criterios!B172="","",Criterios!B172)</f>
        <v/>
      </c>
      <c r="B822">
        <f>IF(Criterios!B172="","",Criterios!D172/100)</f>
        <v/>
      </c>
      <c r="C822">
        <f>IF(Criterios!B172="","",'Insatisfactorio')</f>
        <v/>
      </c>
      <c r="D822">
        <f>IF(Criterios!B172="","",Criterios!E172)</f>
        <v/>
      </c>
      <c r="E822">
        <f>IF(Criterios!B172="","",0)</f>
        <v/>
      </c>
      <c r="F822">
        <f>IF(Criterios!B172="","",Criterios!A172)</f>
        <v/>
      </c>
      <c r="G822">
        <f>IF(Criterios!B172="","",172)</f>
        <v/>
      </c>
    </row>
    <row r="823">
      <c r="A823">
        <f>IF(Criterios!B172="","",Criterios!B172)</f>
        <v/>
      </c>
      <c r="B823">
        <f>IF(Criterios!B172="","",Criterios!D172/100)</f>
        <v/>
      </c>
      <c r="C823">
        <f>IF(Criterios!B172="","",'Necesitas_Mejorar')</f>
        <v/>
      </c>
      <c r="D823">
        <f>IF(Criterios!B172="","",Criterios!F172)</f>
        <v/>
      </c>
      <c r="E823">
        <f>IF(Criterios!B172="","",25)</f>
        <v/>
      </c>
      <c r="F823">
        <f>IF(Criterios!B172="","",Criterios!A172)</f>
        <v/>
      </c>
      <c r="G823">
        <f>IF(Criterios!B172="","",172)</f>
        <v/>
      </c>
    </row>
    <row r="824">
      <c r="A824">
        <f>IF(Criterios!B172="","",Criterios!B172)</f>
        <v/>
      </c>
      <c r="B824">
        <f>IF(Criterios!B172="","",Criterios!D172/100)</f>
        <v/>
      </c>
      <c r="C824">
        <f>IF(Criterios!B172="","",'Bueno')</f>
        <v/>
      </c>
      <c r="D824">
        <f>IF(Criterios!B172="","",Criterios!G172)</f>
        <v/>
      </c>
      <c r="E824">
        <f>IF(Criterios!B172="","",50)</f>
        <v/>
      </c>
      <c r="F824">
        <f>IF(Criterios!B172="","",Criterios!A172)</f>
        <v/>
      </c>
      <c r="G824">
        <f>IF(Criterios!B172="","",172)</f>
        <v/>
      </c>
    </row>
    <row r="825">
      <c r="A825">
        <f>IF(Criterios!B172="","",Criterios!B172)</f>
        <v/>
      </c>
      <c r="B825">
        <f>IF(Criterios!B172="","",Criterios!D172/100)</f>
        <v/>
      </c>
      <c r="C825">
        <f>IF(Criterios!B172="","",'Satisfactorio')</f>
        <v/>
      </c>
      <c r="D825">
        <f>IF(Criterios!B172="","",Criterios!H172)</f>
        <v/>
      </c>
      <c r="E825">
        <f>IF(Criterios!B172="","",75)</f>
        <v/>
      </c>
      <c r="F825">
        <f>IF(Criterios!B172="","",Criterios!A172)</f>
        <v/>
      </c>
      <c r="G825">
        <f>IF(Criterios!B172="","",172)</f>
        <v/>
      </c>
    </row>
    <row r="826">
      <c r="A826">
        <f>IF(Criterios!B172="","",Criterios!B172)</f>
        <v/>
      </c>
      <c r="B826">
        <f>IF(Criterios!B172="","",Criterios!D172/100)</f>
        <v/>
      </c>
      <c r="C826">
        <f>IF(Criterios!B172="","",'Excelente')</f>
        <v/>
      </c>
      <c r="D826">
        <f>IF(Criterios!B172="","",Criterios!I172)</f>
        <v/>
      </c>
      <c r="E826">
        <f>IF(Criterios!B172="","",100)</f>
        <v/>
      </c>
      <c r="F826">
        <f>IF(Criterios!B172="","",Criterios!A172)</f>
        <v/>
      </c>
      <c r="G826">
        <f>IF(Criterios!B172="","",172)</f>
        <v/>
      </c>
    </row>
    <row r="827">
      <c r="A827">
        <f>IF(Criterios!B173="","",Criterios!B173)</f>
        <v/>
      </c>
      <c r="B827">
        <f>IF(Criterios!B173="","",Criterios!D173/100)</f>
        <v/>
      </c>
      <c r="C827">
        <f>IF(Criterios!B173="","",'Insatisfactorio')</f>
        <v/>
      </c>
      <c r="D827">
        <f>IF(Criterios!B173="","",Criterios!E173)</f>
        <v/>
      </c>
      <c r="E827">
        <f>IF(Criterios!B173="","",0)</f>
        <v/>
      </c>
      <c r="F827">
        <f>IF(Criterios!B173="","",Criterios!A173)</f>
        <v/>
      </c>
      <c r="G827">
        <f>IF(Criterios!B173="","",173)</f>
        <v/>
      </c>
    </row>
    <row r="828">
      <c r="A828">
        <f>IF(Criterios!B173="","",Criterios!B173)</f>
        <v/>
      </c>
      <c r="B828">
        <f>IF(Criterios!B173="","",Criterios!D173/100)</f>
        <v/>
      </c>
      <c r="C828">
        <f>IF(Criterios!B173="","",'Necesitas_Mejorar')</f>
        <v/>
      </c>
      <c r="D828">
        <f>IF(Criterios!B173="","",Criterios!F173)</f>
        <v/>
      </c>
      <c r="E828">
        <f>IF(Criterios!B173="","",25)</f>
        <v/>
      </c>
      <c r="F828">
        <f>IF(Criterios!B173="","",Criterios!A173)</f>
        <v/>
      </c>
      <c r="G828">
        <f>IF(Criterios!B173="","",173)</f>
        <v/>
      </c>
    </row>
    <row r="829">
      <c r="A829">
        <f>IF(Criterios!B173="","",Criterios!B173)</f>
        <v/>
      </c>
      <c r="B829">
        <f>IF(Criterios!B173="","",Criterios!D173/100)</f>
        <v/>
      </c>
      <c r="C829">
        <f>IF(Criterios!B173="","",'Bueno')</f>
        <v/>
      </c>
      <c r="D829">
        <f>IF(Criterios!B173="","",Criterios!G173)</f>
        <v/>
      </c>
      <c r="E829">
        <f>IF(Criterios!B173="","",50)</f>
        <v/>
      </c>
      <c r="F829">
        <f>IF(Criterios!B173="","",Criterios!A173)</f>
        <v/>
      </c>
      <c r="G829">
        <f>IF(Criterios!B173="","",173)</f>
        <v/>
      </c>
    </row>
    <row r="830">
      <c r="A830">
        <f>IF(Criterios!B173="","",Criterios!B173)</f>
        <v/>
      </c>
      <c r="B830">
        <f>IF(Criterios!B173="","",Criterios!D173/100)</f>
        <v/>
      </c>
      <c r="C830">
        <f>IF(Criterios!B173="","",'Satisfactorio')</f>
        <v/>
      </c>
      <c r="D830">
        <f>IF(Criterios!B173="","",Criterios!H173)</f>
        <v/>
      </c>
      <c r="E830">
        <f>IF(Criterios!B173="","",75)</f>
        <v/>
      </c>
      <c r="F830">
        <f>IF(Criterios!B173="","",Criterios!A173)</f>
        <v/>
      </c>
      <c r="G830">
        <f>IF(Criterios!B173="","",173)</f>
        <v/>
      </c>
    </row>
    <row r="831">
      <c r="A831">
        <f>IF(Criterios!B173="","",Criterios!B173)</f>
        <v/>
      </c>
      <c r="B831">
        <f>IF(Criterios!B173="","",Criterios!D173/100)</f>
        <v/>
      </c>
      <c r="C831">
        <f>IF(Criterios!B173="","",'Excelente')</f>
        <v/>
      </c>
      <c r="D831">
        <f>IF(Criterios!B173="","",Criterios!I173)</f>
        <v/>
      </c>
      <c r="E831">
        <f>IF(Criterios!B173="","",100)</f>
        <v/>
      </c>
      <c r="F831">
        <f>IF(Criterios!B173="","",Criterios!A173)</f>
        <v/>
      </c>
      <c r="G831">
        <f>IF(Criterios!B173="","",173)</f>
        <v/>
      </c>
    </row>
    <row r="832">
      <c r="A832">
        <f>IF(Criterios!B174="","",Criterios!B174)</f>
        <v/>
      </c>
      <c r="B832">
        <f>IF(Criterios!B174="","",Criterios!D174/100)</f>
        <v/>
      </c>
      <c r="C832">
        <f>IF(Criterios!B174="","",'Insatisfactorio')</f>
        <v/>
      </c>
      <c r="D832">
        <f>IF(Criterios!B174="","",Criterios!E174)</f>
        <v/>
      </c>
      <c r="E832">
        <f>IF(Criterios!B174="","",0)</f>
        <v/>
      </c>
      <c r="F832">
        <f>IF(Criterios!B174="","",Criterios!A174)</f>
        <v/>
      </c>
      <c r="G832">
        <f>IF(Criterios!B174="","",174)</f>
        <v/>
      </c>
    </row>
    <row r="833">
      <c r="A833">
        <f>IF(Criterios!B174="","",Criterios!B174)</f>
        <v/>
      </c>
      <c r="B833">
        <f>IF(Criterios!B174="","",Criterios!D174/100)</f>
        <v/>
      </c>
      <c r="C833">
        <f>IF(Criterios!B174="","",'Necesitas_Mejorar')</f>
        <v/>
      </c>
      <c r="D833">
        <f>IF(Criterios!B174="","",Criterios!F174)</f>
        <v/>
      </c>
      <c r="E833">
        <f>IF(Criterios!B174="","",25)</f>
        <v/>
      </c>
      <c r="F833">
        <f>IF(Criterios!B174="","",Criterios!A174)</f>
        <v/>
      </c>
      <c r="G833">
        <f>IF(Criterios!B174="","",174)</f>
        <v/>
      </c>
    </row>
    <row r="834">
      <c r="A834">
        <f>IF(Criterios!B174="","",Criterios!B174)</f>
        <v/>
      </c>
      <c r="B834">
        <f>IF(Criterios!B174="","",Criterios!D174/100)</f>
        <v/>
      </c>
      <c r="C834">
        <f>IF(Criterios!B174="","",'Bueno')</f>
        <v/>
      </c>
      <c r="D834">
        <f>IF(Criterios!B174="","",Criterios!G174)</f>
        <v/>
      </c>
      <c r="E834">
        <f>IF(Criterios!B174="","",50)</f>
        <v/>
      </c>
      <c r="F834">
        <f>IF(Criterios!B174="","",Criterios!A174)</f>
        <v/>
      </c>
      <c r="G834">
        <f>IF(Criterios!B174="","",174)</f>
        <v/>
      </c>
    </row>
    <row r="835">
      <c r="A835">
        <f>IF(Criterios!B174="","",Criterios!B174)</f>
        <v/>
      </c>
      <c r="B835">
        <f>IF(Criterios!B174="","",Criterios!D174/100)</f>
        <v/>
      </c>
      <c r="C835">
        <f>IF(Criterios!B174="","",'Satisfactorio')</f>
        <v/>
      </c>
      <c r="D835">
        <f>IF(Criterios!B174="","",Criterios!H174)</f>
        <v/>
      </c>
      <c r="E835">
        <f>IF(Criterios!B174="","",75)</f>
        <v/>
      </c>
      <c r="F835">
        <f>IF(Criterios!B174="","",Criterios!A174)</f>
        <v/>
      </c>
      <c r="G835">
        <f>IF(Criterios!B174="","",174)</f>
        <v/>
      </c>
    </row>
    <row r="836">
      <c r="A836">
        <f>IF(Criterios!B174="","",Criterios!B174)</f>
        <v/>
      </c>
      <c r="B836">
        <f>IF(Criterios!B174="","",Criterios!D174/100)</f>
        <v/>
      </c>
      <c r="C836">
        <f>IF(Criterios!B174="","",'Excelente')</f>
        <v/>
      </c>
      <c r="D836">
        <f>IF(Criterios!B174="","",Criterios!I174)</f>
        <v/>
      </c>
      <c r="E836">
        <f>IF(Criterios!B174="","",100)</f>
        <v/>
      </c>
      <c r="F836">
        <f>IF(Criterios!B174="","",Criterios!A174)</f>
        <v/>
      </c>
      <c r="G836">
        <f>IF(Criterios!B174="","",174)</f>
        <v/>
      </c>
    </row>
    <row r="837">
      <c r="A837">
        <f>IF(Criterios!B175="","",Criterios!B175)</f>
        <v/>
      </c>
      <c r="B837">
        <f>IF(Criterios!B175="","",Criterios!D175/100)</f>
        <v/>
      </c>
      <c r="C837">
        <f>IF(Criterios!B175="","",'Insatisfactorio')</f>
        <v/>
      </c>
      <c r="D837">
        <f>IF(Criterios!B175="","",Criterios!E175)</f>
        <v/>
      </c>
      <c r="E837">
        <f>IF(Criterios!B175="","",0)</f>
        <v/>
      </c>
      <c r="F837">
        <f>IF(Criterios!B175="","",Criterios!A175)</f>
        <v/>
      </c>
      <c r="G837">
        <f>IF(Criterios!B175="","",175)</f>
        <v/>
      </c>
    </row>
    <row r="838">
      <c r="A838">
        <f>IF(Criterios!B175="","",Criterios!B175)</f>
        <v/>
      </c>
      <c r="B838">
        <f>IF(Criterios!B175="","",Criterios!D175/100)</f>
        <v/>
      </c>
      <c r="C838">
        <f>IF(Criterios!B175="","",'Necesitas_Mejorar')</f>
        <v/>
      </c>
      <c r="D838">
        <f>IF(Criterios!B175="","",Criterios!F175)</f>
        <v/>
      </c>
      <c r="E838">
        <f>IF(Criterios!B175="","",25)</f>
        <v/>
      </c>
      <c r="F838">
        <f>IF(Criterios!B175="","",Criterios!A175)</f>
        <v/>
      </c>
      <c r="G838">
        <f>IF(Criterios!B175="","",175)</f>
        <v/>
      </c>
    </row>
    <row r="839">
      <c r="A839">
        <f>IF(Criterios!B175="","",Criterios!B175)</f>
        <v/>
      </c>
      <c r="B839">
        <f>IF(Criterios!B175="","",Criterios!D175/100)</f>
        <v/>
      </c>
      <c r="C839">
        <f>IF(Criterios!B175="","",'Bueno')</f>
        <v/>
      </c>
      <c r="D839">
        <f>IF(Criterios!B175="","",Criterios!G175)</f>
        <v/>
      </c>
      <c r="E839">
        <f>IF(Criterios!B175="","",50)</f>
        <v/>
      </c>
      <c r="F839">
        <f>IF(Criterios!B175="","",Criterios!A175)</f>
        <v/>
      </c>
      <c r="G839">
        <f>IF(Criterios!B175="","",175)</f>
        <v/>
      </c>
    </row>
    <row r="840">
      <c r="A840">
        <f>IF(Criterios!B175="","",Criterios!B175)</f>
        <v/>
      </c>
      <c r="B840">
        <f>IF(Criterios!B175="","",Criterios!D175/100)</f>
        <v/>
      </c>
      <c r="C840">
        <f>IF(Criterios!B175="","",'Satisfactorio')</f>
        <v/>
      </c>
      <c r="D840">
        <f>IF(Criterios!B175="","",Criterios!H175)</f>
        <v/>
      </c>
      <c r="E840">
        <f>IF(Criterios!B175="","",75)</f>
        <v/>
      </c>
      <c r="F840">
        <f>IF(Criterios!B175="","",Criterios!A175)</f>
        <v/>
      </c>
      <c r="G840">
        <f>IF(Criterios!B175="","",175)</f>
        <v/>
      </c>
    </row>
    <row r="841">
      <c r="A841">
        <f>IF(Criterios!B175="","",Criterios!B175)</f>
        <v/>
      </c>
      <c r="B841">
        <f>IF(Criterios!B175="","",Criterios!D175/100)</f>
        <v/>
      </c>
      <c r="C841">
        <f>IF(Criterios!B175="","",'Excelente')</f>
        <v/>
      </c>
      <c r="D841">
        <f>IF(Criterios!B175="","",Criterios!I175)</f>
        <v/>
      </c>
      <c r="E841">
        <f>IF(Criterios!B175="","",100)</f>
        <v/>
      </c>
      <c r="F841">
        <f>IF(Criterios!B175="","",Criterios!A175)</f>
        <v/>
      </c>
      <c r="G841">
        <f>IF(Criterios!B175="","",175)</f>
        <v/>
      </c>
    </row>
    <row r="842">
      <c r="A842">
        <f>IF(Criterios!B176="","",Criterios!B176)</f>
        <v/>
      </c>
      <c r="B842">
        <f>IF(Criterios!B176="","",Criterios!D176/100)</f>
        <v/>
      </c>
      <c r="C842">
        <f>IF(Criterios!B176="","",'Insatisfactorio')</f>
        <v/>
      </c>
      <c r="D842">
        <f>IF(Criterios!B176="","",Criterios!E176)</f>
        <v/>
      </c>
      <c r="E842">
        <f>IF(Criterios!B176="","",0)</f>
        <v/>
      </c>
      <c r="F842">
        <f>IF(Criterios!B176="","",Criterios!A176)</f>
        <v/>
      </c>
      <c r="G842">
        <f>IF(Criterios!B176="","",176)</f>
        <v/>
      </c>
    </row>
    <row r="843">
      <c r="A843">
        <f>IF(Criterios!B176="","",Criterios!B176)</f>
        <v/>
      </c>
      <c r="B843">
        <f>IF(Criterios!B176="","",Criterios!D176/100)</f>
        <v/>
      </c>
      <c r="C843">
        <f>IF(Criterios!B176="","",'Necesitas_Mejorar')</f>
        <v/>
      </c>
      <c r="D843">
        <f>IF(Criterios!B176="","",Criterios!F176)</f>
        <v/>
      </c>
      <c r="E843">
        <f>IF(Criterios!B176="","",25)</f>
        <v/>
      </c>
      <c r="F843">
        <f>IF(Criterios!B176="","",Criterios!A176)</f>
        <v/>
      </c>
      <c r="G843">
        <f>IF(Criterios!B176="","",176)</f>
        <v/>
      </c>
    </row>
    <row r="844">
      <c r="A844">
        <f>IF(Criterios!B176="","",Criterios!B176)</f>
        <v/>
      </c>
      <c r="B844">
        <f>IF(Criterios!B176="","",Criterios!D176/100)</f>
        <v/>
      </c>
      <c r="C844">
        <f>IF(Criterios!B176="","",'Bueno')</f>
        <v/>
      </c>
      <c r="D844">
        <f>IF(Criterios!B176="","",Criterios!G176)</f>
        <v/>
      </c>
      <c r="E844">
        <f>IF(Criterios!B176="","",50)</f>
        <v/>
      </c>
      <c r="F844">
        <f>IF(Criterios!B176="","",Criterios!A176)</f>
        <v/>
      </c>
      <c r="G844">
        <f>IF(Criterios!B176="","",176)</f>
        <v/>
      </c>
    </row>
    <row r="845">
      <c r="A845">
        <f>IF(Criterios!B176="","",Criterios!B176)</f>
        <v/>
      </c>
      <c r="B845">
        <f>IF(Criterios!B176="","",Criterios!D176/100)</f>
        <v/>
      </c>
      <c r="C845">
        <f>IF(Criterios!B176="","",'Satisfactorio')</f>
        <v/>
      </c>
      <c r="D845">
        <f>IF(Criterios!B176="","",Criterios!H176)</f>
        <v/>
      </c>
      <c r="E845">
        <f>IF(Criterios!B176="","",75)</f>
        <v/>
      </c>
      <c r="F845">
        <f>IF(Criterios!B176="","",Criterios!A176)</f>
        <v/>
      </c>
      <c r="G845">
        <f>IF(Criterios!B176="","",176)</f>
        <v/>
      </c>
    </row>
    <row r="846">
      <c r="A846">
        <f>IF(Criterios!B176="","",Criterios!B176)</f>
        <v/>
      </c>
      <c r="B846">
        <f>IF(Criterios!B176="","",Criterios!D176/100)</f>
        <v/>
      </c>
      <c r="C846">
        <f>IF(Criterios!B176="","",'Excelente')</f>
        <v/>
      </c>
      <c r="D846">
        <f>IF(Criterios!B176="","",Criterios!I176)</f>
        <v/>
      </c>
      <c r="E846">
        <f>IF(Criterios!B176="","",100)</f>
        <v/>
      </c>
      <c r="F846">
        <f>IF(Criterios!B176="","",Criterios!A176)</f>
        <v/>
      </c>
      <c r="G846">
        <f>IF(Criterios!B176="","",176)</f>
        <v/>
      </c>
    </row>
    <row r="847">
      <c r="A847">
        <f>IF(Criterios!B177="","",Criterios!B177)</f>
        <v/>
      </c>
      <c r="B847">
        <f>IF(Criterios!B177="","",Criterios!D177/100)</f>
        <v/>
      </c>
      <c r="C847">
        <f>IF(Criterios!B177="","",'Insatisfactorio')</f>
        <v/>
      </c>
      <c r="D847">
        <f>IF(Criterios!B177="","",Criterios!E177)</f>
        <v/>
      </c>
      <c r="E847">
        <f>IF(Criterios!B177="","",0)</f>
        <v/>
      </c>
      <c r="F847">
        <f>IF(Criterios!B177="","",Criterios!A177)</f>
        <v/>
      </c>
      <c r="G847">
        <f>IF(Criterios!B177="","",177)</f>
        <v/>
      </c>
    </row>
    <row r="848">
      <c r="A848">
        <f>IF(Criterios!B177="","",Criterios!B177)</f>
        <v/>
      </c>
      <c r="B848">
        <f>IF(Criterios!B177="","",Criterios!D177/100)</f>
        <v/>
      </c>
      <c r="C848">
        <f>IF(Criterios!B177="","",'Necesitas_Mejorar')</f>
        <v/>
      </c>
      <c r="D848">
        <f>IF(Criterios!B177="","",Criterios!F177)</f>
        <v/>
      </c>
      <c r="E848">
        <f>IF(Criterios!B177="","",25)</f>
        <v/>
      </c>
      <c r="F848">
        <f>IF(Criterios!B177="","",Criterios!A177)</f>
        <v/>
      </c>
      <c r="G848">
        <f>IF(Criterios!B177="","",177)</f>
        <v/>
      </c>
    </row>
    <row r="849">
      <c r="A849">
        <f>IF(Criterios!B177="","",Criterios!B177)</f>
        <v/>
      </c>
      <c r="B849">
        <f>IF(Criterios!B177="","",Criterios!D177/100)</f>
        <v/>
      </c>
      <c r="C849">
        <f>IF(Criterios!B177="","",'Bueno')</f>
        <v/>
      </c>
      <c r="D849">
        <f>IF(Criterios!B177="","",Criterios!G177)</f>
        <v/>
      </c>
      <c r="E849">
        <f>IF(Criterios!B177="","",50)</f>
        <v/>
      </c>
      <c r="F849">
        <f>IF(Criterios!B177="","",Criterios!A177)</f>
        <v/>
      </c>
      <c r="G849">
        <f>IF(Criterios!B177="","",177)</f>
        <v/>
      </c>
    </row>
    <row r="850">
      <c r="A850">
        <f>IF(Criterios!B177="","",Criterios!B177)</f>
        <v/>
      </c>
      <c r="B850">
        <f>IF(Criterios!B177="","",Criterios!D177/100)</f>
        <v/>
      </c>
      <c r="C850">
        <f>IF(Criterios!B177="","",'Satisfactorio')</f>
        <v/>
      </c>
      <c r="D850">
        <f>IF(Criterios!B177="","",Criterios!H177)</f>
        <v/>
      </c>
      <c r="E850">
        <f>IF(Criterios!B177="","",75)</f>
        <v/>
      </c>
      <c r="F850">
        <f>IF(Criterios!B177="","",Criterios!A177)</f>
        <v/>
      </c>
      <c r="G850">
        <f>IF(Criterios!B177="","",177)</f>
        <v/>
      </c>
    </row>
    <row r="851">
      <c r="A851">
        <f>IF(Criterios!B177="","",Criterios!B177)</f>
        <v/>
      </c>
      <c r="B851">
        <f>IF(Criterios!B177="","",Criterios!D177/100)</f>
        <v/>
      </c>
      <c r="C851">
        <f>IF(Criterios!B177="","",'Excelente')</f>
        <v/>
      </c>
      <c r="D851">
        <f>IF(Criterios!B177="","",Criterios!I177)</f>
        <v/>
      </c>
      <c r="E851">
        <f>IF(Criterios!B177="","",100)</f>
        <v/>
      </c>
      <c r="F851">
        <f>IF(Criterios!B177="","",Criterios!A177)</f>
        <v/>
      </c>
      <c r="G851">
        <f>IF(Criterios!B177="","",177)</f>
        <v/>
      </c>
    </row>
    <row r="852">
      <c r="A852">
        <f>IF(Criterios!B178="","",Criterios!B178)</f>
        <v/>
      </c>
      <c r="B852">
        <f>IF(Criterios!B178="","",Criterios!D178/100)</f>
        <v/>
      </c>
      <c r="C852">
        <f>IF(Criterios!B178="","",'Insatisfactorio')</f>
        <v/>
      </c>
      <c r="D852">
        <f>IF(Criterios!B178="","",Criterios!E178)</f>
        <v/>
      </c>
      <c r="E852">
        <f>IF(Criterios!B178="","",0)</f>
        <v/>
      </c>
      <c r="F852">
        <f>IF(Criterios!B178="","",Criterios!A178)</f>
        <v/>
      </c>
      <c r="G852">
        <f>IF(Criterios!B178="","",178)</f>
        <v/>
      </c>
    </row>
    <row r="853">
      <c r="A853">
        <f>IF(Criterios!B178="","",Criterios!B178)</f>
        <v/>
      </c>
      <c r="B853">
        <f>IF(Criterios!B178="","",Criterios!D178/100)</f>
        <v/>
      </c>
      <c r="C853">
        <f>IF(Criterios!B178="","",'Necesitas_Mejorar')</f>
        <v/>
      </c>
      <c r="D853">
        <f>IF(Criterios!B178="","",Criterios!F178)</f>
        <v/>
      </c>
      <c r="E853">
        <f>IF(Criterios!B178="","",25)</f>
        <v/>
      </c>
      <c r="F853">
        <f>IF(Criterios!B178="","",Criterios!A178)</f>
        <v/>
      </c>
      <c r="G853">
        <f>IF(Criterios!B178="","",178)</f>
        <v/>
      </c>
    </row>
    <row r="854">
      <c r="A854">
        <f>IF(Criterios!B178="","",Criterios!B178)</f>
        <v/>
      </c>
      <c r="B854">
        <f>IF(Criterios!B178="","",Criterios!D178/100)</f>
        <v/>
      </c>
      <c r="C854">
        <f>IF(Criterios!B178="","",'Bueno')</f>
        <v/>
      </c>
      <c r="D854">
        <f>IF(Criterios!B178="","",Criterios!G178)</f>
        <v/>
      </c>
      <c r="E854">
        <f>IF(Criterios!B178="","",50)</f>
        <v/>
      </c>
      <c r="F854">
        <f>IF(Criterios!B178="","",Criterios!A178)</f>
        <v/>
      </c>
      <c r="G854">
        <f>IF(Criterios!B178="","",178)</f>
        <v/>
      </c>
    </row>
    <row r="855">
      <c r="A855">
        <f>IF(Criterios!B178="","",Criterios!B178)</f>
        <v/>
      </c>
      <c r="B855">
        <f>IF(Criterios!B178="","",Criterios!D178/100)</f>
        <v/>
      </c>
      <c r="C855">
        <f>IF(Criterios!B178="","",'Satisfactorio')</f>
        <v/>
      </c>
      <c r="D855">
        <f>IF(Criterios!B178="","",Criterios!H178)</f>
        <v/>
      </c>
      <c r="E855">
        <f>IF(Criterios!B178="","",75)</f>
        <v/>
      </c>
      <c r="F855">
        <f>IF(Criterios!B178="","",Criterios!A178)</f>
        <v/>
      </c>
      <c r="G855">
        <f>IF(Criterios!B178="","",178)</f>
        <v/>
      </c>
    </row>
    <row r="856">
      <c r="A856">
        <f>IF(Criterios!B178="","",Criterios!B178)</f>
        <v/>
      </c>
      <c r="B856">
        <f>IF(Criterios!B178="","",Criterios!D178/100)</f>
        <v/>
      </c>
      <c r="C856">
        <f>IF(Criterios!B178="","",'Excelente')</f>
        <v/>
      </c>
      <c r="D856">
        <f>IF(Criterios!B178="","",Criterios!I178)</f>
        <v/>
      </c>
      <c r="E856">
        <f>IF(Criterios!B178="","",100)</f>
        <v/>
      </c>
      <c r="F856">
        <f>IF(Criterios!B178="","",Criterios!A178)</f>
        <v/>
      </c>
      <c r="G856">
        <f>IF(Criterios!B178="","",178)</f>
        <v/>
      </c>
    </row>
    <row r="857">
      <c r="A857">
        <f>IF(Criterios!B179="","",Criterios!B179)</f>
        <v/>
      </c>
      <c r="B857">
        <f>IF(Criterios!B179="","",Criterios!D179/100)</f>
        <v/>
      </c>
      <c r="C857">
        <f>IF(Criterios!B179="","",'Insatisfactorio')</f>
        <v/>
      </c>
      <c r="D857">
        <f>IF(Criterios!B179="","",Criterios!E179)</f>
        <v/>
      </c>
      <c r="E857">
        <f>IF(Criterios!B179="","",0)</f>
        <v/>
      </c>
      <c r="F857">
        <f>IF(Criterios!B179="","",Criterios!A179)</f>
        <v/>
      </c>
      <c r="G857">
        <f>IF(Criterios!B179="","",179)</f>
        <v/>
      </c>
    </row>
    <row r="858">
      <c r="A858">
        <f>IF(Criterios!B179="","",Criterios!B179)</f>
        <v/>
      </c>
      <c r="B858">
        <f>IF(Criterios!B179="","",Criterios!D179/100)</f>
        <v/>
      </c>
      <c r="C858">
        <f>IF(Criterios!B179="","",'Necesitas_Mejorar')</f>
        <v/>
      </c>
      <c r="D858">
        <f>IF(Criterios!B179="","",Criterios!F179)</f>
        <v/>
      </c>
      <c r="E858">
        <f>IF(Criterios!B179="","",25)</f>
        <v/>
      </c>
      <c r="F858">
        <f>IF(Criterios!B179="","",Criterios!A179)</f>
        <v/>
      </c>
      <c r="G858">
        <f>IF(Criterios!B179="","",179)</f>
        <v/>
      </c>
    </row>
    <row r="859">
      <c r="A859">
        <f>IF(Criterios!B179="","",Criterios!B179)</f>
        <v/>
      </c>
      <c r="B859">
        <f>IF(Criterios!B179="","",Criterios!D179/100)</f>
        <v/>
      </c>
      <c r="C859">
        <f>IF(Criterios!B179="","",'Bueno')</f>
        <v/>
      </c>
      <c r="D859">
        <f>IF(Criterios!B179="","",Criterios!G179)</f>
        <v/>
      </c>
      <c r="E859">
        <f>IF(Criterios!B179="","",50)</f>
        <v/>
      </c>
      <c r="F859">
        <f>IF(Criterios!B179="","",Criterios!A179)</f>
        <v/>
      </c>
      <c r="G859">
        <f>IF(Criterios!B179="","",179)</f>
        <v/>
      </c>
    </row>
    <row r="860">
      <c r="A860">
        <f>IF(Criterios!B179="","",Criterios!B179)</f>
        <v/>
      </c>
      <c r="B860">
        <f>IF(Criterios!B179="","",Criterios!D179/100)</f>
        <v/>
      </c>
      <c r="C860">
        <f>IF(Criterios!B179="","",'Satisfactorio')</f>
        <v/>
      </c>
      <c r="D860">
        <f>IF(Criterios!B179="","",Criterios!H179)</f>
        <v/>
      </c>
      <c r="E860">
        <f>IF(Criterios!B179="","",75)</f>
        <v/>
      </c>
      <c r="F860">
        <f>IF(Criterios!B179="","",Criterios!A179)</f>
        <v/>
      </c>
      <c r="G860">
        <f>IF(Criterios!B179="","",179)</f>
        <v/>
      </c>
    </row>
    <row r="861">
      <c r="A861">
        <f>IF(Criterios!B179="","",Criterios!B179)</f>
        <v/>
      </c>
      <c r="B861">
        <f>IF(Criterios!B179="","",Criterios!D179/100)</f>
        <v/>
      </c>
      <c r="C861">
        <f>IF(Criterios!B179="","",'Excelente')</f>
        <v/>
      </c>
      <c r="D861">
        <f>IF(Criterios!B179="","",Criterios!I179)</f>
        <v/>
      </c>
      <c r="E861">
        <f>IF(Criterios!B179="","",100)</f>
        <v/>
      </c>
      <c r="F861">
        <f>IF(Criterios!B179="","",Criterios!A179)</f>
        <v/>
      </c>
      <c r="G861">
        <f>IF(Criterios!B179="","",179)</f>
        <v/>
      </c>
    </row>
    <row r="862">
      <c r="A862">
        <f>IF(Criterios!B180="","",Criterios!B180)</f>
        <v/>
      </c>
      <c r="B862">
        <f>IF(Criterios!B180="","",Criterios!D180/100)</f>
        <v/>
      </c>
      <c r="C862">
        <f>IF(Criterios!B180="","",'Insatisfactorio')</f>
        <v/>
      </c>
      <c r="D862">
        <f>IF(Criterios!B180="","",Criterios!E180)</f>
        <v/>
      </c>
      <c r="E862">
        <f>IF(Criterios!B180="","",0)</f>
        <v/>
      </c>
      <c r="F862">
        <f>IF(Criterios!B180="","",Criterios!A180)</f>
        <v/>
      </c>
      <c r="G862">
        <f>IF(Criterios!B180="","",180)</f>
        <v/>
      </c>
    </row>
    <row r="863">
      <c r="A863">
        <f>IF(Criterios!B180="","",Criterios!B180)</f>
        <v/>
      </c>
      <c r="B863">
        <f>IF(Criterios!B180="","",Criterios!D180/100)</f>
        <v/>
      </c>
      <c r="C863">
        <f>IF(Criterios!B180="","",'Necesitas_Mejorar')</f>
        <v/>
      </c>
      <c r="D863">
        <f>IF(Criterios!B180="","",Criterios!F180)</f>
        <v/>
      </c>
      <c r="E863">
        <f>IF(Criterios!B180="","",25)</f>
        <v/>
      </c>
      <c r="F863">
        <f>IF(Criterios!B180="","",Criterios!A180)</f>
        <v/>
      </c>
      <c r="G863">
        <f>IF(Criterios!B180="","",180)</f>
        <v/>
      </c>
    </row>
    <row r="864">
      <c r="A864">
        <f>IF(Criterios!B180="","",Criterios!B180)</f>
        <v/>
      </c>
      <c r="B864">
        <f>IF(Criterios!B180="","",Criterios!D180/100)</f>
        <v/>
      </c>
      <c r="C864">
        <f>IF(Criterios!B180="","",'Bueno')</f>
        <v/>
      </c>
      <c r="D864">
        <f>IF(Criterios!B180="","",Criterios!G180)</f>
        <v/>
      </c>
      <c r="E864">
        <f>IF(Criterios!B180="","",50)</f>
        <v/>
      </c>
      <c r="F864">
        <f>IF(Criterios!B180="","",Criterios!A180)</f>
        <v/>
      </c>
      <c r="G864">
        <f>IF(Criterios!B180="","",180)</f>
        <v/>
      </c>
    </row>
    <row r="865">
      <c r="A865">
        <f>IF(Criterios!B180="","",Criterios!B180)</f>
        <v/>
      </c>
      <c r="B865">
        <f>IF(Criterios!B180="","",Criterios!D180/100)</f>
        <v/>
      </c>
      <c r="C865">
        <f>IF(Criterios!B180="","",'Satisfactorio')</f>
        <v/>
      </c>
      <c r="D865">
        <f>IF(Criterios!B180="","",Criterios!H180)</f>
        <v/>
      </c>
      <c r="E865">
        <f>IF(Criterios!B180="","",75)</f>
        <v/>
      </c>
      <c r="F865">
        <f>IF(Criterios!B180="","",Criterios!A180)</f>
        <v/>
      </c>
      <c r="G865">
        <f>IF(Criterios!B180="","",180)</f>
        <v/>
      </c>
    </row>
    <row r="866">
      <c r="A866">
        <f>IF(Criterios!B180="","",Criterios!B180)</f>
        <v/>
      </c>
      <c r="B866">
        <f>IF(Criterios!B180="","",Criterios!D180/100)</f>
        <v/>
      </c>
      <c r="C866">
        <f>IF(Criterios!B180="","",'Excelente')</f>
        <v/>
      </c>
      <c r="D866">
        <f>IF(Criterios!B180="","",Criterios!I180)</f>
        <v/>
      </c>
      <c r="E866">
        <f>IF(Criterios!B180="","",100)</f>
        <v/>
      </c>
      <c r="F866">
        <f>IF(Criterios!B180="","",Criterios!A180)</f>
        <v/>
      </c>
      <c r="G866">
        <f>IF(Criterios!B180="","",180)</f>
        <v/>
      </c>
    </row>
    <row r="867">
      <c r="A867">
        <f>IF(Criterios!B181="","",Criterios!B181)</f>
        <v/>
      </c>
      <c r="B867">
        <f>IF(Criterios!B181="","",Criterios!D181/100)</f>
        <v/>
      </c>
      <c r="C867">
        <f>IF(Criterios!B181="","",'Insatisfactorio')</f>
        <v/>
      </c>
      <c r="D867">
        <f>IF(Criterios!B181="","",Criterios!E181)</f>
        <v/>
      </c>
      <c r="E867">
        <f>IF(Criterios!B181="","",0)</f>
        <v/>
      </c>
      <c r="F867">
        <f>IF(Criterios!B181="","",Criterios!A181)</f>
        <v/>
      </c>
      <c r="G867">
        <f>IF(Criterios!B181="","",181)</f>
        <v/>
      </c>
    </row>
    <row r="868">
      <c r="A868">
        <f>IF(Criterios!B181="","",Criterios!B181)</f>
        <v/>
      </c>
      <c r="B868">
        <f>IF(Criterios!B181="","",Criterios!D181/100)</f>
        <v/>
      </c>
      <c r="C868">
        <f>IF(Criterios!B181="","",'Necesitas_Mejorar')</f>
        <v/>
      </c>
      <c r="D868">
        <f>IF(Criterios!B181="","",Criterios!F181)</f>
        <v/>
      </c>
      <c r="E868">
        <f>IF(Criterios!B181="","",25)</f>
        <v/>
      </c>
      <c r="F868">
        <f>IF(Criterios!B181="","",Criterios!A181)</f>
        <v/>
      </c>
      <c r="G868">
        <f>IF(Criterios!B181="","",181)</f>
        <v/>
      </c>
    </row>
    <row r="869">
      <c r="A869">
        <f>IF(Criterios!B181="","",Criterios!B181)</f>
        <v/>
      </c>
      <c r="B869">
        <f>IF(Criterios!B181="","",Criterios!D181/100)</f>
        <v/>
      </c>
      <c r="C869">
        <f>IF(Criterios!B181="","",'Bueno')</f>
        <v/>
      </c>
      <c r="D869">
        <f>IF(Criterios!B181="","",Criterios!G181)</f>
        <v/>
      </c>
      <c r="E869">
        <f>IF(Criterios!B181="","",50)</f>
        <v/>
      </c>
      <c r="F869">
        <f>IF(Criterios!B181="","",Criterios!A181)</f>
        <v/>
      </c>
      <c r="G869">
        <f>IF(Criterios!B181="","",181)</f>
        <v/>
      </c>
    </row>
    <row r="870">
      <c r="A870">
        <f>IF(Criterios!B181="","",Criterios!B181)</f>
        <v/>
      </c>
      <c r="B870">
        <f>IF(Criterios!B181="","",Criterios!D181/100)</f>
        <v/>
      </c>
      <c r="C870">
        <f>IF(Criterios!B181="","",'Satisfactorio')</f>
        <v/>
      </c>
      <c r="D870">
        <f>IF(Criterios!B181="","",Criterios!H181)</f>
        <v/>
      </c>
      <c r="E870">
        <f>IF(Criterios!B181="","",75)</f>
        <v/>
      </c>
      <c r="F870">
        <f>IF(Criterios!B181="","",Criterios!A181)</f>
        <v/>
      </c>
      <c r="G870">
        <f>IF(Criterios!B181="","",181)</f>
        <v/>
      </c>
    </row>
    <row r="871">
      <c r="A871">
        <f>IF(Criterios!B181="","",Criterios!B181)</f>
        <v/>
      </c>
      <c r="B871">
        <f>IF(Criterios!B181="","",Criterios!D181/100)</f>
        <v/>
      </c>
      <c r="C871">
        <f>IF(Criterios!B181="","",'Excelente')</f>
        <v/>
      </c>
      <c r="D871">
        <f>IF(Criterios!B181="","",Criterios!I181)</f>
        <v/>
      </c>
      <c r="E871">
        <f>IF(Criterios!B181="","",100)</f>
        <v/>
      </c>
      <c r="F871">
        <f>IF(Criterios!B181="","",Criterios!A181)</f>
        <v/>
      </c>
      <c r="G871">
        <f>IF(Criterios!B181="","",181)</f>
        <v/>
      </c>
    </row>
    <row r="872">
      <c r="A872">
        <f>IF(Criterios!B182="","",Criterios!B182)</f>
        <v/>
      </c>
      <c r="B872">
        <f>IF(Criterios!B182="","",Criterios!D182/100)</f>
        <v/>
      </c>
      <c r="C872">
        <f>IF(Criterios!B182="","",'Insatisfactorio')</f>
        <v/>
      </c>
      <c r="D872">
        <f>IF(Criterios!B182="","",Criterios!E182)</f>
        <v/>
      </c>
      <c r="E872">
        <f>IF(Criterios!B182="","",0)</f>
        <v/>
      </c>
      <c r="F872">
        <f>IF(Criterios!B182="","",Criterios!A182)</f>
        <v/>
      </c>
      <c r="G872">
        <f>IF(Criterios!B182="","",182)</f>
        <v/>
      </c>
    </row>
    <row r="873">
      <c r="A873">
        <f>IF(Criterios!B182="","",Criterios!B182)</f>
        <v/>
      </c>
      <c r="B873">
        <f>IF(Criterios!B182="","",Criterios!D182/100)</f>
        <v/>
      </c>
      <c r="C873">
        <f>IF(Criterios!B182="","",'Necesitas_Mejorar')</f>
        <v/>
      </c>
      <c r="D873">
        <f>IF(Criterios!B182="","",Criterios!F182)</f>
        <v/>
      </c>
      <c r="E873">
        <f>IF(Criterios!B182="","",25)</f>
        <v/>
      </c>
      <c r="F873">
        <f>IF(Criterios!B182="","",Criterios!A182)</f>
        <v/>
      </c>
      <c r="G873">
        <f>IF(Criterios!B182="","",182)</f>
        <v/>
      </c>
    </row>
    <row r="874">
      <c r="A874">
        <f>IF(Criterios!B182="","",Criterios!B182)</f>
        <v/>
      </c>
      <c r="B874">
        <f>IF(Criterios!B182="","",Criterios!D182/100)</f>
        <v/>
      </c>
      <c r="C874">
        <f>IF(Criterios!B182="","",'Bueno')</f>
        <v/>
      </c>
      <c r="D874">
        <f>IF(Criterios!B182="","",Criterios!G182)</f>
        <v/>
      </c>
      <c r="E874">
        <f>IF(Criterios!B182="","",50)</f>
        <v/>
      </c>
      <c r="F874">
        <f>IF(Criterios!B182="","",Criterios!A182)</f>
        <v/>
      </c>
      <c r="G874">
        <f>IF(Criterios!B182="","",182)</f>
        <v/>
      </c>
    </row>
    <row r="875">
      <c r="A875">
        <f>IF(Criterios!B182="","",Criterios!B182)</f>
        <v/>
      </c>
      <c r="B875">
        <f>IF(Criterios!B182="","",Criterios!D182/100)</f>
        <v/>
      </c>
      <c r="C875">
        <f>IF(Criterios!B182="","",'Satisfactorio')</f>
        <v/>
      </c>
      <c r="D875">
        <f>IF(Criterios!B182="","",Criterios!H182)</f>
        <v/>
      </c>
      <c r="E875">
        <f>IF(Criterios!B182="","",75)</f>
        <v/>
      </c>
      <c r="F875">
        <f>IF(Criterios!B182="","",Criterios!A182)</f>
        <v/>
      </c>
      <c r="G875">
        <f>IF(Criterios!B182="","",182)</f>
        <v/>
      </c>
    </row>
    <row r="876">
      <c r="A876">
        <f>IF(Criterios!B182="","",Criterios!B182)</f>
        <v/>
      </c>
      <c r="B876">
        <f>IF(Criterios!B182="","",Criterios!D182/100)</f>
        <v/>
      </c>
      <c r="C876">
        <f>IF(Criterios!B182="","",'Excelente')</f>
        <v/>
      </c>
      <c r="D876">
        <f>IF(Criterios!B182="","",Criterios!I182)</f>
        <v/>
      </c>
      <c r="E876">
        <f>IF(Criterios!B182="","",100)</f>
        <v/>
      </c>
      <c r="F876">
        <f>IF(Criterios!B182="","",Criterios!A182)</f>
        <v/>
      </c>
      <c r="G876">
        <f>IF(Criterios!B182="","",182)</f>
        <v/>
      </c>
    </row>
    <row r="877">
      <c r="A877">
        <f>IF(Criterios!B183="","",Criterios!B183)</f>
        <v/>
      </c>
      <c r="B877">
        <f>IF(Criterios!B183="","",Criterios!D183/100)</f>
        <v/>
      </c>
      <c r="C877">
        <f>IF(Criterios!B183="","",'Insatisfactorio')</f>
        <v/>
      </c>
      <c r="D877">
        <f>IF(Criterios!B183="","",Criterios!E183)</f>
        <v/>
      </c>
      <c r="E877">
        <f>IF(Criterios!B183="","",0)</f>
        <v/>
      </c>
      <c r="F877">
        <f>IF(Criterios!B183="","",Criterios!A183)</f>
        <v/>
      </c>
      <c r="G877">
        <f>IF(Criterios!B183="","",183)</f>
        <v/>
      </c>
    </row>
    <row r="878">
      <c r="A878">
        <f>IF(Criterios!B183="","",Criterios!B183)</f>
        <v/>
      </c>
      <c r="B878">
        <f>IF(Criterios!B183="","",Criterios!D183/100)</f>
        <v/>
      </c>
      <c r="C878">
        <f>IF(Criterios!B183="","",'Necesitas_Mejorar')</f>
        <v/>
      </c>
      <c r="D878">
        <f>IF(Criterios!B183="","",Criterios!F183)</f>
        <v/>
      </c>
      <c r="E878">
        <f>IF(Criterios!B183="","",25)</f>
        <v/>
      </c>
      <c r="F878">
        <f>IF(Criterios!B183="","",Criterios!A183)</f>
        <v/>
      </c>
      <c r="G878">
        <f>IF(Criterios!B183="","",183)</f>
        <v/>
      </c>
    </row>
    <row r="879">
      <c r="A879">
        <f>IF(Criterios!B183="","",Criterios!B183)</f>
        <v/>
      </c>
      <c r="B879">
        <f>IF(Criterios!B183="","",Criterios!D183/100)</f>
        <v/>
      </c>
      <c r="C879">
        <f>IF(Criterios!B183="","",'Bueno')</f>
        <v/>
      </c>
      <c r="D879">
        <f>IF(Criterios!B183="","",Criterios!G183)</f>
        <v/>
      </c>
      <c r="E879">
        <f>IF(Criterios!B183="","",50)</f>
        <v/>
      </c>
      <c r="F879">
        <f>IF(Criterios!B183="","",Criterios!A183)</f>
        <v/>
      </c>
      <c r="G879">
        <f>IF(Criterios!B183="","",183)</f>
        <v/>
      </c>
    </row>
    <row r="880">
      <c r="A880">
        <f>IF(Criterios!B183="","",Criterios!B183)</f>
        <v/>
      </c>
      <c r="B880">
        <f>IF(Criterios!B183="","",Criterios!D183/100)</f>
        <v/>
      </c>
      <c r="C880">
        <f>IF(Criterios!B183="","",'Satisfactorio')</f>
        <v/>
      </c>
      <c r="D880">
        <f>IF(Criterios!B183="","",Criterios!H183)</f>
        <v/>
      </c>
      <c r="E880">
        <f>IF(Criterios!B183="","",75)</f>
        <v/>
      </c>
      <c r="F880">
        <f>IF(Criterios!B183="","",Criterios!A183)</f>
        <v/>
      </c>
      <c r="G880">
        <f>IF(Criterios!B183="","",183)</f>
        <v/>
      </c>
    </row>
    <row r="881">
      <c r="A881">
        <f>IF(Criterios!B183="","",Criterios!B183)</f>
        <v/>
      </c>
      <c r="B881">
        <f>IF(Criterios!B183="","",Criterios!D183/100)</f>
        <v/>
      </c>
      <c r="C881">
        <f>IF(Criterios!B183="","",'Excelente')</f>
        <v/>
      </c>
      <c r="D881">
        <f>IF(Criterios!B183="","",Criterios!I183)</f>
        <v/>
      </c>
      <c r="E881">
        <f>IF(Criterios!B183="","",100)</f>
        <v/>
      </c>
      <c r="F881">
        <f>IF(Criterios!B183="","",Criterios!A183)</f>
        <v/>
      </c>
      <c r="G881">
        <f>IF(Criterios!B183="","",183)</f>
        <v/>
      </c>
    </row>
    <row r="882">
      <c r="A882">
        <f>IF(Criterios!B184="","",Criterios!B184)</f>
        <v/>
      </c>
      <c r="B882">
        <f>IF(Criterios!B184="","",Criterios!D184/100)</f>
        <v/>
      </c>
      <c r="C882">
        <f>IF(Criterios!B184="","",'Insatisfactorio')</f>
        <v/>
      </c>
      <c r="D882">
        <f>IF(Criterios!B184="","",Criterios!E184)</f>
        <v/>
      </c>
      <c r="E882">
        <f>IF(Criterios!B184="","",0)</f>
        <v/>
      </c>
      <c r="F882">
        <f>IF(Criterios!B184="","",Criterios!A184)</f>
        <v/>
      </c>
      <c r="G882">
        <f>IF(Criterios!B184="","",184)</f>
        <v/>
      </c>
    </row>
    <row r="883">
      <c r="A883">
        <f>IF(Criterios!B184="","",Criterios!B184)</f>
        <v/>
      </c>
      <c r="B883">
        <f>IF(Criterios!B184="","",Criterios!D184/100)</f>
        <v/>
      </c>
      <c r="C883">
        <f>IF(Criterios!B184="","",'Necesitas_Mejorar')</f>
        <v/>
      </c>
      <c r="D883">
        <f>IF(Criterios!B184="","",Criterios!F184)</f>
        <v/>
      </c>
      <c r="E883">
        <f>IF(Criterios!B184="","",25)</f>
        <v/>
      </c>
      <c r="F883">
        <f>IF(Criterios!B184="","",Criterios!A184)</f>
        <v/>
      </c>
      <c r="G883">
        <f>IF(Criterios!B184="","",184)</f>
        <v/>
      </c>
    </row>
    <row r="884">
      <c r="A884">
        <f>IF(Criterios!B184="","",Criterios!B184)</f>
        <v/>
      </c>
      <c r="B884">
        <f>IF(Criterios!B184="","",Criterios!D184/100)</f>
        <v/>
      </c>
      <c r="C884">
        <f>IF(Criterios!B184="","",'Bueno')</f>
        <v/>
      </c>
      <c r="D884">
        <f>IF(Criterios!B184="","",Criterios!G184)</f>
        <v/>
      </c>
      <c r="E884">
        <f>IF(Criterios!B184="","",50)</f>
        <v/>
      </c>
      <c r="F884">
        <f>IF(Criterios!B184="","",Criterios!A184)</f>
        <v/>
      </c>
      <c r="G884">
        <f>IF(Criterios!B184="","",184)</f>
        <v/>
      </c>
    </row>
    <row r="885">
      <c r="A885">
        <f>IF(Criterios!B184="","",Criterios!B184)</f>
        <v/>
      </c>
      <c r="B885">
        <f>IF(Criterios!B184="","",Criterios!D184/100)</f>
        <v/>
      </c>
      <c r="C885">
        <f>IF(Criterios!B184="","",'Satisfactorio')</f>
        <v/>
      </c>
      <c r="D885">
        <f>IF(Criterios!B184="","",Criterios!H184)</f>
        <v/>
      </c>
      <c r="E885">
        <f>IF(Criterios!B184="","",75)</f>
        <v/>
      </c>
      <c r="F885">
        <f>IF(Criterios!B184="","",Criterios!A184)</f>
        <v/>
      </c>
      <c r="G885">
        <f>IF(Criterios!B184="","",184)</f>
        <v/>
      </c>
    </row>
    <row r="886">
      <c r="A886">
        <f>IF(Criterios!B184="","",Criterios!B184)</f>
        <v/>
      </c>
      <c r="B886">
        <f>IF(Criterios!B184="","",Criterios!D184/100)</f>
        <v/>
      </c>
      <c r="C886">
        <f>IF(Criterios!B184="","",'Excelente')</f>
        <v/>
      </c>
      <c r="D886">
        <f>IF(Criterios!B184="","",Criterios!I184)</f>
        <v/>
      </c>
      <c r="E886">
        <f>IF(Criterios!B184="","",100)</f>
        <v/>
      </c>
      <c r="F886">
        <f>IF(Criterios!B184="","",Criterios!A184)</f>
        <v/>
      </c>
      <c r="G886">
        <f>IF(Criterios!B184="","",184)</f>
        <v/>
      </c>
    </row>
    <row r="887">
      <c r="A887">
        <f>IF(Criterios!B185="","",Criterios!B185)</f>
        <v/>
      </c>
      <c r="B887">
        <f>IF(Criterios!B185="","",Criterios!D185/100)</f>
        <v/>
      </c>
      <c r="C887">
        <f>IF(Criterios!B185="","",'Insatisfactorio')</f>
        <v/>
      </c>
      <c r="D887">
        <f>IF(Criterios!B185="","",Criterios!E185)</f>
        <v/>
      </c>
      <c r="E887">
        <f>IF(Criterios!B185="","",0)</f>
        <v/>
      </c>
      <c r="F887">
        <f>IF(Criterios!B185="","",Criterios!A185)</f>
        <v/>
      </c>
      <c r="G887">
        <f>IF(Criterios!B185="","",185)</f>
        <v/>
      </c>
    </row>
    <row r="888">
      <c r="A888">
        <f>IF(Criterios!B185="","",Criterios!B185)</f>
        <v/>
      </c>
      <c r="B888">
        <f>IF(Criterios!B185="","",Criterios!D185/100)</f>
        <v/>
      </c>
      <c r="C888">
        <f>IF(Criterios!B185="","",'Necesitas_Mejorar')</f>
        <v/>
      </c>
      <c r="D888">
        <f>IF(Criterios!B185="","",Criterios!F185)</f>
        <v/>
      </c>
      <c r="E888">
        <f>IF(Criterios!B185="","",25)</f>
        <v/>
      </c>
      <c r="F888">
        <f>IF(Criterios!B185="","",Criterios!A185)</f>
        <v/>
      </c>
      <c r="G888">
        <f>IF(Criterios!B185="","",185)</f>
        <v/>
      </c>
    </row>
    <row r="889">
      <c r="A889">
        <f>IF(Criterios!B185="","",Criterios!B185)</f>
        <v/>
      </c>
      <c r="B889">
        <f>IF(Criterios!B185="","",Criterios!D185/100)</f>
        <v/>
      </c>
      <c r="C889">
        <f>IF(Criterios!B185="","",'Bueno')</f>
        <v/>
      </c>
      <c r="D889">
        <f>IF(Criterios!B185="","",Criterios!G185)</f>
        <v/>
      </c>
      <c r="E889">
        <f>IF(Criterios!B185="","",50)</f>
        <v/>
      </c>
      <c r="F889">
        <f>IF(Criterios!B185="","",Criterios!A185)</f>
        <v/>
      </c>
      <c r="G889">
        <f>IF(Criterios!B185="","",185)</f>
        <v/>
      </c>
    </row>
    <row r="890">
      <c r="A890">
        <f>IF(Criterios!B185="","",Criterios!B185)</f>
        <v/>
      </c>
      <c r="B890">
        <f>IF(Criterios!B185="","",Criterios!D185/100)</f>
        <v/>
      </c>
      <c r="C890">
        <f>IF(Criterios!B185="","",'Satisfactorio')</f>
        <v/>
      </c>
      <c r="D890">
        <f>IF(Criterios!B185="","",Criterios!H185)</f>
        <v/>
      </c>
      <c r="E890">
        <f>IF(Criterios!B185="","",75)</f>
        <v/>
      </c>
      <c r="F890">
        <f>IF(Criterios!B185="","",Criterios!A185)</f>
        <v/>
      </c>
      <c r="G890">
        <f>IF(Criterios!B185="","",185)</f>
        <v/>
      </c>
    </row>
    <row r="891">
      <c r="A891">
        <f>IF(Criterios!B185="","",Criterios!B185)</f>
        <v/>
      </c>
      <c r="B891">
        <f>IF(Criterios!B185="","",Criterios!D185/100)</f>
        <v/>
      </c>
      <c r="C891">
        <f>IF(Criterios!B185="","",'Excelente')</f>
        <v/>
      </c>
      <c r="D891">
        <f>IF(Criterios!B185="","",Criterios!I185)</f>
        <v/>
      </c>
      <c r="E891">
        <f>IF(Criterios!B185="","",100)</f>
        <v/>
      </c>
      <c r="F891">
        <f>IF(Criterios!B185="","",Criterios!A185)</f>
        <v/>
      </c>
      <c r="G891">
        <f>IF(Criterios!B185="","",185)</f>
        <v/>
      </c>
    </row>
    <row r="892">
      <c r="A892">
        <f>IF(Criterios!B186="","",Criterios!B186)</f>
        <v/>
      </c>
      <c r="B892">
        <f>IF(Criterios!B186="","",Criterios!D186/100)</f>
        <v/>
      </c>
      <c r="C892">
        <f>IF(Criterios!B186="","",'Insatisfactorio')</f>
        <v/>
      </c>
      <c r="D892">
        <f>IF(Criterios!B186="","",Criterios!E186)</f>
        <v/>
      </c>
      <c r="E892">
        <f>IF(Criterios!B186="","",0)</f>
        <v/>
      </c>
      <c r="F892">
        <f>IF(Criterios!B186="","",Criterios!A186)</f>
        <v/>
      </c>
      <c r="G892">
        <f>IF(Criterios!B186="","",186)</f>
        <v/>
      </c>
    </row>
    <row r="893">
      <c r="A893">
        <f>IF(Criterios!B186="","",Criterios!B186)</f>
        <v/>
      </c>
      <c r="B893">
        <f>IF(Criterios!B186="","",Criterios!D186/100)</f>
        <v/>
      </c>
      <c r="C893">
        <f>IF(Criterios!B186="","",'Necesitas_Mejorar')</f>
        <v/>
      </c>
      <c r="D893">
        <f>IF(Criterios!B186="","",Criterios!F186)</f>
        <v/>
      </c>
      <c r="E893">
        <f>IF(Criterios!B186="","",25)</f>
        <v/>
      </c>
      <c r="F893">
        <f>IF(Criterios!B186="","",Criterios!A186)</f>
        <v/>
      </c>
      <c r="G893">
        <f>IF(Criterios!B186="","",186)</f>
        <v/>
      </c>
    </row>
    <row r="894">
      <c r="A894">
        <f>IF(Criterios!B186="","",Criterios!B186)</f>
        <v/>
      </c>
      <c r="B894">
        <f>IF(Criterios!B186="","",Criterios!D186/100)</f>
        <v/>
      </c>
      <c r="C894">
        <f>IF(Criterios!B186="","",'Bueno')</f>
        <v/>
      </c>
      <c r="D894">
        <f>IF(Criterios!B186="","",Criterios!G186)</f>
        <v/>
      </c>
      <c r="E894">
        <f>IF(Criterios!B186="","",50)</f>
        <v/>
      </c>
      <c r="F894">
        <f>IF(Criterios!B186="","",Criterios!A186)</f>
        <v/>
      </c>
      <c r="G894">
        <f>IF(Criterios!B186="","",186)</f>
        <v/>
      </c>
    </row>
    <row r="895">
      <c r="A895">
        <f>IF(Criterios!B186="","",Criterios!B186)</f>
        <v/>
      </c>
      <c r="B895">
        <f>IF(Criterios!B186="","",Criterios!D186/100)</f>
        <v/>
      </c>
      <c r="C895">
        <f>IF(Criterios!B186="","",'Satisfactorio')</f>
        <v/>
      </c>
      <c r="D895">
        <f>IF(Criterios!B186="","",Criterios!H186)</f>
        <v/>
      </c>
      <c r="E895">
        <f>IF(Criterios!B186="","",75)</f>
        <v/>
      </c>
      <c r="F895">
        <f>IF(Criterios!B186="","",Criterios!A186)</f>
        <v/>
      </c>
      <c r="G895">
        <f>IF(Criterios!B186="","",186)</f>
        <v/>
      </c>
    </row>
    <row r="896">
      <c r="A896">
        <f>IF(Criterios!B186="","",Criterios!B186)</f>
        <v/>
      </c>
      <c r="B896">
        <f>IF(Criterios!B186="","",Criterios!D186/100)</f>
        <v/>
      </c>
      <c r="C896">
        <f>IF(Criterios!B186="","",'Excelente')</f>
        <v/>
      </c>
      <c r="D896">
        <f>IF(Criterios!B186="","",Criterios!I186)</f>
        <v/>
      </c>
      <c r="E896">
        <f>IF(Criterios!B186="","",100)</f>
        <v/>
      </c>
      <c r="F896">
        <f>IF(Criterios!B186="","",Criterios!A186)</f>
        <v/>
      </c>
      <c r="G896">
        <f>IF(Criterios!B186="","",186)</f>
        <v/>
      </c>
    </row>
    <row r="897">
      <c r="A897">
        <f>IF(Criterios!B187="","",Criterios!B187)</f>
        <v/>
      </c>
      <c r="B897">
        <f>IF(Criterios!B187="","",Criterios!D187/100)</f>
        <v/>
      </c>
      <c r="C897">
        <f>IF(Criterios!B187="","",'Insatisfactorio')</f>
        <v/>
      </c>
      <c r="D897">
        <f>IF(Criterios!B187="","",Criterios!E187)</f>
        <v/>
      </c>
      <c r="E897">
        <f>IF(Criterios!B187="","",0)</f>
        <v/>
      </c>
      <c r="F897">
        <f>IF(Criterios!B187="","",Criterios!A187)</f>
        <v/>
      </c>
      <c r="G897">
        <f>IF(Criterios!B187="","",187)</f>
        <v/>
      </c>
    </row>
    <row r="898">
      <c r="A898">
        <f>IF(Criterios!B187="","",Criterios!B187)</f>
        <v/>
      </c>
      <c r="B898">
        <f>IF(Criterios!B187="","",Criterios!D187/100)</f>
        <v/>
      </c>
      <c r="C898">
        <f>IF(Criterios!B187="","",'Necesitas_Mejorar')</f>
        <v/>
      </c>
      <c r="D898">
        <f>IF(Criterios!B187="","",Criterios!F187)</f>
        <v/>
      </c>
      <c r="E898">
        <f>IF(Criterios!B187="","",25)</f>
        <v/>
      </c>
      <c r="F898">
        <f>IF(Criterios!B187="","",Criterios!A187)</f>
        <v/>
      </c>
      <c r="G898">
        <f>IF(Criterios!B187="","",187)</f>
        <v/>
      </c>
    </row>
    <row r="899">
      <c r="A899">
        <f>IF(Criterios!B187="","",Criterios!B187)</f>
        <v/>
      </c>
      <c r="B899">
        <f>IF(Criterios!B187="","",Criterios!D187/100)</f>
        <v/>
      </c>
      <c r="C899">
        <f>IF(Criterios!B187="","",'Bueno')</f>
        <v/>
      </c>
      <c r="D899">
        <f>IF(Criterios!B187="","",Criterios!G187)</f>
        <v/>
      </c>
      <c r="E899">
        <f>IF(Criterios!B187="","",50)</f>
        <v/>
      </c>
      <c r="F899">
        <f>IF(Criterios!B187="","",Criterios!A187)</f>
        <v/>
      </c>
      <c r="G899">
        <f>IF(Criterios!B187="","",187)</f>
        <v/>
      </c>
    </row>
    <row r="900">
      <c r="A900">
        <f>IF(Criterios!B187="","",Criterios!B187)</f>
        <v/>
      </c>
      <c r="B900">
        <f>IF(Criterios!B187="","",Criterios!D187/100)</f>
        <v/>
      </c>
      <c r="C900">
        <f>IF(Criterios!B187="","",'Satisfactorio')</f>
        <v/>
      </c>
      <c r="D900">
        <f>IF(Criterios!B187="","",Criterios!H187)</f>
        <v/>
      </c>
      <c r="E900">
        <f>IF(Criterios!B187="","",75)</f>
        <v/>
      </c>
      <c r="F900">
        <f>IF(Criterios!B187="","",Criterios!A187)</f>
        <v/>
      </c>
      <c r="G900">
        <f>IF(Criterios!B187="","",187)</f>
        <v/>
      </c>
    </row>
    <row r="901">
      <c r="A901">
        <f>IF(Criterios!B187="","",Criterios!B187)</f>
        <v/>
      </c>
      <c r="B901">
        <f>IF(Criterios!B187="","",Criterios!D187/100)</f>
        <v/>
      </c>
      <c r="C901">
        <f>IF(Criterios!B187="","",'Excelente')</f>
        <v/>
      </c>
      <c r="D901">
        <f>IF(Criterios!B187="","",Criterios!I187)</f>
        <v/>
      </c>
      <c r="E901">
        <f>IF(Criterios!B187="","",100)</f>
        <v/>
      </c>
      <c r="F901">
        <f>IF(Criterios!B187="","",Criterios!A187)</f>
        <v/>
      </c>
      <c r="G901">
        <f>IF(Criterios!B187="","",187)</f>
        <v/>
      </c>
    </row>
    <row r="902">
      <c r="A902">
        <f>IF(Criterios!B188="","",Criterios!B188)</f>
        <v/>
      </c>
      <c r="B902">
        <f>IF(Criterios!B188="","",Criterios!D188/100)</f>
        <v/>
      </c>
      <c r="C902">
        <f>IF(Criterios!B188="","",'Insatisfactorio')</f>
        <v/>
      </c>
      <c r="D902">
        <f>IF(Criterios!B188="","",Criterios!E188)</f>
        <v/>
      </c>
      <c r="E902">
        <f>IF(Criterios!B188="","",0)</f>
        <v/>
      </c>
      <c r="F902">
        <f>IF(Criterios!B188="","",Criterios!A188)</f>
        <v/>
      </c>
      <c r="G902">
        <f>IF(Criterios!B188="","",188)</f>
        <v/>
      </c>
    </row>
    <row r="903">
      <c r="A903">
        <f>IF(Criterios!B188="","",Criterios!B188)</f>
        <v/>
      </c>
      <c r="B903">
        <f>IF(Criterios!B188="","",Criterios!D188/100)</f>
        <v/>
      </c>
      <c r="C903">
        <f>IF(Criterios!B188="","",'Necesitas_Mejorar')</f>
        <v/>
      </c>
      <c r="D903">
        <f>IF(Criterios!B188="","",Criterios!F188)</f>
        <v/>
      </c>
      <c r="E903">
        <f>IF(Criterios!B188="","",25)</f>
        <v/>
      </c>
      <c r="F903">
        <f>IF(Criterios!B188="","",Criterios!A188)</f>
        <v/>
      </c>
      <c r="G903">
        <f>IF(Criterios!B188="","",188)</f>
        <v/>
      </c>
    </row>
    <row r="904">
      <c r="A904">
        <f>IF(Criterios!B188="","",Criterios!B188)</f>
        <v/>
      </c>
      <c r="B904">
        <f>IF(Criterios!B188="","",Criterios!D188/100)</f>
        <v/>
      </c>
      <c r="C904">
        <f>IF(Criterios!B188="","",'Bueno')</f>
        <v/>
      </c>
      <c r="D904">
        <f>IF(Criterios!B188="","",Criterios!G188)</f>
        <v/>
      </c>
      <c r="E904">
        <f>IF(Criterios!B188="","",50)</f>
        <v/>
      </c>
      <c r="F904">
        <f>IF(Criterios!B188="","",Criterios!A188)</f>
        <v/>
      </c>
      <c r="G904">
        <f>IF(Criterios!B188="","",188)</f>
        <v/>
      </c>
    </row>
    <row r="905">
      <c r="A905">
        <f>IF(Criterios!B188="","",Criterios!B188)</f>
        <v/>
      </c>
      <c r="B905">
        <f>IF(Criterios!B188="","",Criterios!D188/100)</f>
        <v/>
      </c>
      <c r="C905">
        <f>IF(Criterios!B188="","",'Satisfactorio')</f>
        <v/>
      </c>
      <c r="D905">
        <f>IF(Criterios!B188="","",Criterios!H188)</f>
        <v/>
      </c>
      <c r="E905">
        <f>IF(Criterios!B188="","",75)</f>
        <v/>
      </c>
      <c r="F905">
        <f>IF(Criterios!B188="","",Criterios!A188)</f>
        <v/>
      </c>
      <c r="G905">
        <f>IF(Criterios!B188="","",188)</f>
        <v/>
      </c>
    </row>
    <row r="906">
      <c r="A906">
        <f>IF(Criterios!B188="","",Criterios!B188)</f>
        <v/>
      </c>
      <c r="B906">
        <f>IF(Criterios!B188="","",Criterios!D188/100)</f>
        <v/>
      </c>
      <c r="C906">
        <f>IF(Criterios!B188="","",'Excelente')</f>
        <v/>
      </c>
      <c r="D906">
        <f>IF(Criterios!B188="","",Criterios!I188)</f>
        <v/>
      </c>
      <c r="E906">
        <f>IF(Criterios!B188="","",100)</f>
        <v/>
      </c>
      <c r="F906">
        <f>IF(Criterios!B188="","",Criterios!A188)</f>
        <v/>
      </c>
      <c r="G906">
        <f>IF(Criterios!B188="","",188)</f>
        <v/>
      </c>
    </row>
    <row r="907">
      <c r="A907">
        <f>IF(Criterios!B189="","",Criterios!B189)</f>
        <v/>
      </c>
      <c r="B907">
        <f>IF(Criterios!B189="","",Criterios!D189/100)</f>
        <v/>
      </c>
      <c r="C907">
        <f>IF(Criterios!B189="","",'Insatisfactorio')</f>
        <v/>
      </c>
      <c r="D907">
        <f>IF(Criterios!B189="","",Criterios!E189)</f>
        <v/>
      </c>
      <c r="E907">
        <f>IF(Criterios!B189="","",0)</f>
        <v/>
      </c>
      <c r="F907">
        <f>IF(Criterios!B189="","",Criterios!A189)</f>
        <v/>
      </c>
      <c r="G907">
        <f>IF(Criterios!B189="","",189)</f>
        <v/>
      </c>
    </row>
    <row r="908">
      <c r="A908">
        <f>IF(Criterios!B189="","",Criterios!B189)</f>
        <v/>
      </c>
      <c r="B908">
        <f>IF(Criterios!B189="","",Criterios!D189/100)</f>
        <v/>
      </c>
      <c r="C908">
        <f>IF(Criterios!B189="","",'Necesitas_Mejorar')</f>
        <v/>
      </c>
      <c r="D908">
        <f>IF(Criterios!B189="","",Criterios!F189)</f>
        <v/>
      </c>
      <c r="E908">
        <f>IF(Criterios!B189="","",25)</f>
        <v/>
      </c>
      <c r="F908">
        <f>IF(Criterios!B189="","",Criterios!A189)</f>
        <v/>
      </c>
      <c r="G908">
        <f>IF(Criterios!B189="","",189)</f>
        <v/>
      </c>
    </row>
    <row r="909">
      <c r="A909">
        <f>IF(Criterios!B189="","",Criterios!B189)</f>
        <v/>
      </c>
      <c r="B909">
        <f>IF(Criterios!B189="","",Criterios!D189/100)</f>
        <v/>
      </c>
      <c r="C909">
        <f>IF(Criterios!B189="","",'Bueno')</f>
        <v/>
      </c>
      <c r="D909">
        <f>IF(Criterios!B189="","",Criterios!G189)</f>
        <v/>
      </c>
      <c r="E909">
        <f>IF(Criterios!B189="","",50)</f>
        <v/>
      </c>
      <c r="F909">
        <f>IF(Criterios!B189="","",Criterios!A189)</f>
        <v/>
      </c>
      <c r="G909">
        <f>IF(Criterios!B189="","",189)</f>
        <v/>
      </c>
    </row>
    <row r="910">
      <c r="A910">
        <f>IF(Criterios!B189="","",Criterios!B189)</f>
        <v/>
      </c>
      <c r="B910">
        <f>IF(Criterios!B189="","",Criterios!D189/100)</f>
        <v/>
      </c>
      <c r="C910">
        <f>IF(Criterios!B189="","",'Satisfactorio')</f>
        <v/>
      </c>
      <c r="D910">
        <f>IF(Criterios!B189="","",Criterios!H189)</f>
        <v/>
      </c>
      <c r="E910">
        <f>IF(Criterios!B189="","",75)</f>
        <v/>
      </c>
      <c r="F910">
        <f>IF(Criterios!B189="","",Criterios!A189)</f>
        <v/>
      </c>
      <c r="G910">
        <f>IF(Criterios!B189="","",189)</f>
        <v/>
      </c>
    </row>
    <row r="911">
      <c r="A911">
        <f>IF(Criterios!B189="","",Criterios!B189)</f>
        <v/>
      </c>
      <c r="B911">
        <f>IF(Criterios!B189="","",Criterios!D189/100)</f>
        <v/>
      </c>
      <c r="C911">
        <f>IF(Criterios!B189="","",'Excelente')</f>
        <v/>
      </c>
      <c r="D911">
        <f>IF(Criterios!B189="","",Criterios!I189)</f>
        <v/>
      </c>
      <c r="E911">
        <f>IF(Criterios!B189="","",100)</f>
        <v/>
      </c>
      <c r="F911">
        <f>IF(Criterios!B189="","",Criterios!A189)</f>
        <v/>
      </c>
      <c r="G911">
        <f>IF(Criterios!B189="","",189)</f>
        <v/>
      </c>
    </row>
    <row r="912">
      <c r="A912">
        <f>IF(Criterios!B190="","",Criterios!B190)</f>
        <v/>
      </c>
      <c r="B912">
        <f>IF(Criterios!B190="","",Criterios!D190/100)</f>
        <v/>
      </c>
      <c r="C912">
        <f>IF(Criterios!B190="","",'Insatisfactorio')</f>
        <v/>
      </c>
      <c r="D912">
        <f>IF(Criterios!B190="","",Criterios!E190)</f>
        <v/>
      </c>
      <c r="E912">
        <f>IF(Criterios!B190="","",0)</f>
        <v/>
      </c>
      <c r="F912">
        <f>IF(Criterios!B190="","",Criterios!A190)</f>
        <v/>
      </c>
      <c r="G912">
        <f>IF(Criterios!B190="","",190)</f>
        <v/>
      </c>
    </row>
    <row r="913">
      <c r="A913">
        <f>IF(Criterios!B190="","",Criterios!B190)</f>
        <v/>
      </c>
      <c r="B913">
        <f>IF(Criterios!B190="","",Criterios!D190/100)</f>
        <v/>
      </c>
      <c r="C913">
        <f>IF(Criterios!B190="","",'Necesitas_Mejorar')</f>
        <v/>
      </c>
      <c r="D913">
        <f>IF(Criterios!B190="","",Criterios!F190)</f>
        <v/>
      </c>
      <c r="E913">
        <f>IF(Criterios!B190="","",25)</f>
        <v/>
      </c>
      <c r="F913">
        <f>IF(Criterios!B190="","",Criterios!A190)</f>
        <v/>
      </c>
      <c r="G913">
        <f>IF(Criterios!B190="","",190)</f>
        <v/>
      </c>
    </row>
    <row r="914">
      <c r="A914">
        <f>IF(Criterios!B190="","",Criterios!B190)</f>
        <v/>
      </c>
      <c r="B914">
        <f>IF(Criterios!B190="","",Criterios!D190/100)</f>
        <v/>
      </c>
      <c r="C914">
        <f>IF(Criterios!B190="","",'Bueno')</f>
        <v/>
      </c>
      <c r="D914">
        <f>IF(Criterios!B190="","",Criterios!G190)</f>
        <v/>
      </c>
      <c r="E914">
        <f>IF(Criterios!B190="","",50)</f>
        <v/>
      </c>
      <c r="F914">
        <f>IF(Criterios!B190="","",Criterios!A190)</f>
        <v/>
      </c>
      <c r="G914">
        <f>IF(Criterios!B190="","",190)</f>
        <v/>
      </c>
    </row>
    <row r="915">
      <c r="A915">
        <f>IF(Criterios!B190="","",Criterios!B190)</f>
        <v/>
      </c>
      <c r="B915">
        <f>IF(Criterios!B190="","",Criterios!D190/100)</f>
        <v/>
      </c>
      <c r="C915">
        <f>IF(Criterios!B190="","",'Satisfactorio')</f>
        <v/>
      </c>
      <c r="D915">
        <f>IF(Criterios!B190="","",Criterios!H190)</f>
        <v/>
      </c>
      <c r="E915">
        <f>IF(Criterios!B190="","",75)</f>
        <v/>
      </c>
      <c r="F915">
        <f>IF(Criterios!B190="","",Criterios!A190)</f>
        <v/>
      </c>
      <c r="G915">
        <f>IF(Criterios!B190="","",190)</f>
        <v/>
      </c>
    </row>
    <row r="916">
      <c r="A916">
        <f>IF(Criterios!B190="","",Criterios!B190)</f>
        <v/>
      </c>
      <c r="B916">
        <f>IF(Criterios!B190="","",Criterios!D190/100)</f>
        <v/>
      </c>
      <c r="C916">
        <f>IF(Criterios!B190="","",'Excelente')</f>
        <v/>
      </c>
      <c r="D916">
        <f>IF(Criterios!B190="","",Criterios!I190)</f>
        <v/>
      </c>
      <c r="E916">
        <f>IF(Criterios!B190="","",100)</f>
        <v/>
      </c>
      <c r="F916">
        <f>IF(Criterios!B190="","",Criterios!A190)</f>
        <v/>
      </c>
      <c r="G916">
        <f>IF(Criterios!B190="","",190)</f>
        <v/>
      </c>
    </row>
    <row r="917">
      <c r="A917">
        <f>IF(Criterios!B191="","",Criterios!B191)</f>
        <v/>
      </c>
      <c r="B917">
        <f>IF(Criterios!B191="","",Criterios!D191/100)</f>
        <v/>
      </c>
      <c r="C917">
        <f>IF(Criterios!B191="","",'Insatisfactorio')</f>
        <v/>
      </c>
      <c r="D917">
        <f>IF(Criterios!B191="","",Criterios!E191)</f>
        <v/>
      </c>
      <c r="E917">
        <f>IF(Criterios!B191="","",0)</f>
        <v/>
      </c>
      <c r="F917">
        <f>IF(Criterios!B191="","",Criterios!A191)</f>
        <v/>
      </c>
      <c r="G917">
        <f>IF(Criterios!B191="","",191)</f>
        <v/>
      </c>
    </row>
    <row r="918">
      <c r="A918">
        <f>IF(Criterios!B191="","",Criterios!B191)</f>
        <v/>
      </c>
      <c r="B918">
        <f>IF(Criterios!B191="","",Criterios!D191/100)</f>
        <v/>
      </c>
      <c r="C918">
        <f>IF(Criterios!B191="","",'Necesitas_Mejorar')</f>
        <v/>
      </c>
      <c r="D918">
        <f>IF(Criterios!B191="","",Criterios!F191)</f>
        <v/>
      </c>
      <c r="E918">
        <f>IF(Criterios!B191="","",25)</f>
        <v/>
      </c>
      <c r="F918">
        <f>IF(Criterios!B191="","",Criterios!A191)</f>
        <v/>
      </c>
      <c r="G918">
        <f>IF(Criterios!B191="","",191)</f>
        <v/>
      </c>
    </row>
    <row r="919">
      <c r="A919">
        <f>IF(Criterios!B191="","",Criterios!B191)</f>
        <v/>
      </c>
      <c r="B919">
        <f>IF(Criterios!B191="","",Criterios!D191/100)</f>
        <v/>
      </c>
      <c r="C919">
        <f>IF(Criterios!B191="","",'Bueno')</f>
        <v/>
      </c>
      <c r="D919">
        <f>IF(Criterios!B191="","",Criterios!G191)</f>
        <v/>
      </c>
      <c r="E919">
        <f>IF(Criterios!B191="","",50)</f>
        <v/>
      </c>
      <c r="F919">
        <f>IF(Criterios!B191="","",Criterios!A191)</f>
        <v/>
      </c>
      <c r="G919">
        <f>IF(Criterios!B191="","",191)</f>
        <v/>
      </c>
    </row>
    <row r="920">
      <c r="A920">
        <f>IF(Criterios!B191="","",Criterios!B191)</f>
        <v/>
      </c>
      <c r="B920">
        <f>IF(Criterios!B191="","",Criterios!D191/100)</f>
        <v/>
      </c>
      <c r="C920">
        <f>IF(Criterios!B191="","",'Satisfactorio')</f>
        <v/>
      </c>
      <c r="D920">
        <f>IF(Criterios!B191="","",Criterios!H191)</f>
        <v/>
      </c>
      <c r="E920">
        <f>IF(Criterios!B191="","",75)</f>
        <v/>
      </c>
      <c r="F920">
        <f>IF(Criterios!B191="","",Criterios!A191)</f>
        <v/>
      </c>
      <c r="G920">
        <f>IF(Criterios!B191="","",191)</f>
        <v/>
      </c>
    </row>
    <row r="921">
      <c r="A921">
        <f>IF(Criterios!B191="","",Criterios!B191)</f>
        <v/>
      </c>
      <c r="B921">
        <f>IF(Criterios!B191="","",Criterios!D191/100)</f>
        <v/>
      </c>
      <c r="C921">
        <f>IF(Criterios!B191="","",'Excelente')</f>
        <v/>
      </c>
      <c r="D921">
        <f>IF(Criterios!B191="","",Criterios!I191)</f>
        <v/>
      </c>
      <c r="E921">
        <f>IF(Criterios!B191="","",100)</f>
        <v/>
      </c>
      <c r="F921">
        <f>IF(Criterios!B191="","",Criterios!A191)</f>
        <v/>
      </c>
      <c r="G921">
        <f>IF(Criterios!B191="","",191)</f>
        <v/>
      </c>
    </row>
    <row r="922">
      <c r="A922">
        <f>IF(Criterios!B192="","",Criterios!B192)</f>
        <v/>
      </c>
      <c r="B922">
        <f>IF(Criterios!B192="","",Criterios!D192/100)</f>
        <v/>
      </c>
      <c r="C922">
        <f>IF(Criterios!B192="","",'Insatisfactorio')</f>
        <v/>
      </c>
      <c r="D922">
        <f>IF(Criterios!B192="","",Criterios!E192)</f>
        <v/>
      </c>
      <c r="E922">
        <f>IF(Criterios!B192="","",0)</f>
        <v/>
      </c>
      <c r="F922">
        <f>IF(Criterios!B192="","",Criterios!A192)</f>
        <v/>
      </c>
      <c r="G922">
        <f>IF(Criterios!B192="","",192)</f>
        <v/>
      </c>
    </row>
    <row r="923">
      <c r="A923">
        <f>IF(Criterios!B192="","",Criterios!B192)</f>
        <v/>
      </c>
      <c r="B923">
        <f>IF(Criterios!B192="","",Criterios!D192/100)</f>
        <v/>
      </c>
      <c r="C923">
        <f>IF(Criterios!B192="","",'Necesitas_Mejorar')</f>
        <v/>
      </c>
      <c r="D923">
        <f>IF(Criterios!B192="","",Criterios!F192)</f>
        <v/>
      </c>
      <c r="E923">
        <f>IF(Criterios!B192="","",25)</f>
        <v/>
      </c>
      <c r="F923">
        <f>IF(Criterios!B192="","",Criterios!A192)</f>
        <v/>
      </c>
      <c r="G923">
        <f>IF(Criterios!B192="","",192)</f>
        <v/>
      </c>
    </row>
    <row r="924">
      <c r="A924">
        <f>IF(Criterios!B192="","",Criterios!B192)</f>
        <v/>
      </c>
      <c r="B924">
        <f>IF(Criterios!B192="","",Criterios!D192/100)</f>
        <v/>
      </c>
      <c r="C924">
        <f>IF(Criterios!B192="","",'Bueno')</f>
        <v/>
      </c>
      <c r="D924">
        <f>IF(Criterios!B192="","",Criterios!G192)</f>
        <v/>
      </c>
      <c r="E924">
        <f>IF(Criterios!B192="","",50)</f>
        <v/>
      </c>
      <c r="F924">
        <f>IF(Criterios!B192="","",Criterios!A192)</f>
        <v/>
      </c>
      <c r="G924">
        <f>IF(Criterios!B192="","",192)</f>
        <v/>
      </c>
    </row>
    <row r="925">
      <c r="A925">
        <f>IF(Criterios!B192="","",Criterios!B192)</f>
        <v/>
      </c>
      <c r="B925">
        <f>IF(Criterios!B192="","",Criterios!D192/100)</f>
        <v/>
      </c>
      <c r="C925">
        <f>IF(Criterios!B192="","",'Satisfactorio')</f>
        <v/>
      </c>
      <c r="D925">
        <f>IF(Criterios!B192="","",Criterios!H192)</f>
        <v/>
      </c>
      <c r="E925">
        <f>IF(Criterios!B192="","",75)</f>
        <v/>
      </c>
      <c r="F925">
        <f>IF(Criterios!B192="","",Criterios!A192)</f>
        <v/>
      </c>
      <c r="G925">
        <f>IF(Criterios!B192="","",192)</f>
        <v/>
      </c>
    </row>
    <row r="926">
      <c r="A926">
        <f>IF(Criterios!B192="","",Criterios!B192)</f>
        <v/>
      </c>
      <c r="B926">
        <f>IF(Criterios!B192="","",Criterios!D192/100)</f>
        <v/>
      </c>
      <c r="C926">
        <f>IF(Criterios!B192="","",'Excelente')</f>
        <v/>
      </c>
      <c r="D926">
        <f>IF(Criterios!B192="","",Criterios!I192)</f>
        <v/>
      </c>
      <c r="E926">
        <f>IF(Criterios!B192="","",100)</f>
        <v/>
      </c>
      <c r="F926">
        <f>IF(Criterios!B192="","",Criterios!A192)</f>
        <v/>
      </c>
      <c r="G926">
        <f>IF(Criterios!B192="","",192)</f>
        <v/>
      </c>
    </row>
    <row r="927">
      <c r="A927">
        <f>IF(Criterios!B193="","",Criterios!B193)</f>
        <v/>
      </c>
      <c r="B927">
        <f>IF(Criterios!B193="","",Criterios!D193/100)</f>
        <v/>
      </c>
      <c r="C927">
        <f>IF(Criterios!B193="","",'Insatisfactorio')</f>
        <v/>
      </c>
      <c r="D927">
        <f>IF(Criterios!B193="","",Criterios!E193)</f>
        <v/>
      </c>
      <c r="E927">
        <f>IF(Criterios!B193="","",0)</f>
        <v/>
      </c>
      <c r="F927">
        <f>IF(Criterios!B193="","",Criterios!A193)</f>
        <v/>
      </c>
      <c r="G927">
        <f>IF(Criterios!B193="","",193)</f>
        <v/>
      </c>
    </row>
    <row r="928">
      <c r="A928">
        <f>IF(Criterios!B193="","",Criterios!B193)</f>
        <v/>
      </c>
      <c r="B928">
        <f>IF(Criterios!B193="","",Criterios!D193/100)</f>
        <v/>
      </c>
      <c r="C928">
        <f>IF(Criterios!B193="","",'Necesitas_Mejorar')</f>
        <v/>
      </c>
      <c r="D928">
        <f>IF(Criterios!B193="","",Criterios!F193)</f>
        <v/>
      </c>
      <c r="E928">
        <f>IF(Criterios!B193="","",25)</f>
        <v/>
      </c>
      <c r="F928">
        <f>IF(Criterios!B193="","",Criterios!A193)</f>
        <v/>
      </c>
      <c r="G928">
        <f>IF(Criterios!B193="","",193)</f>
        <v/>
      </c>
    </row>
    <row r="929">
      <c r="A929">
        <f>IF(Criterios!B193="","",Criterios!B193)</f>
        <v/>
      </c>
      <c r="B929">
        <f>IF(Criterios!B193="","",Criterios!D193/100)</f>
        <v/>
      </c>
      <c r="C929">
        <f>IF(Criterios!B193="","",'Bueno')</f>
        <v/>
      </c>
      <c r="D929">
        <f>IF(Criterios!B193="","",Criterios!G193)</f>
        <v/>
      </c>
      <c r="E929">
        <f>IF(Criterios!B193="","",50)</f>
        <v/>
      </c>
      <c r="F929">
        <f>IF(Criterios!B193="","",Criterios!A193)</f>
        <v/>
      </c>
      <c r="G929">
        <f>IF(Criterios!B193="","",193)</f>
        <v/>
      </c>
    </row>
    <row r="930">
      <c r="A930">
        <f>IF(Criterios!B193="","",Criterios!B193)</f>
        <v/>
      </c>
      <c r="B930">
        <f>IF(Criterios!B193="","",Criterios!D193/100)</f>
        <v/>
      </c>
      <c r="C930">
        <f>IF(Criterios!B193="","",'Satisfactorio')</f>
        <v/>
      </c>
      <c r="D930">
        <f>IF(Criterios!B193="","",Criterios!H193)</f>
        <v/>
      </c>
      <c r="E930">
        <f>IF(Criterios!B193="","",75)</f>
        <v/>
      </c>
      <c r="F930">
        <f>IF(Criterios!B193="","",Criterios!A193)</f>
        <v/>
      </c>
      <c r="G930">
        <f>IF(Criterios!B193="","",193)</f>
        <v/>
      </c>
    </row>
    <row r="931">
      <c r="A931">
        <f>IF(Criterios!B193="","",Criterios!B193)</f>
        <v/>
      </c>
      <c r="B931">
        <f>IF(Criterios!B193="","",Criterios!D193/100)</f>
        <v/>
      </c>
      <c r="C931">
        <f>IF(Criterios!B193="","",'Excelente')</f>
        <v/>
      </c>
      <c r="D931">
        <f>IF(Criterios!B193="","",Criterios!I193)</f>
        <v/>
      </c>
      <c r="E931">
        <f>IF(Criterios!B193="","",100)</f>
        <v/>
      </c>
      <c r="F931">
        <f>IF(Criterios!B193="","",Criterios!A193)</f>
        <v/>
      </c>
      <c r="G931">
        <f>IF(Criterios!B193="","",193)</f>
        <v/>
      </c>
    </row>
    <row r="932">
      <c r="A932">
        <f>IF(Criterios!B194="","",Criterios!B194)</f>
        <v/>
      </c>
      <c r="B932">
        <f>IF(Criterios!B194="","",Criterios!D194/100)</f>
        <v/>
      </c>
      <c r="C932">
        <f>IF(Criterios!B194="","",'Insatisfactorio')</f>
        <v/>
      </c>
      <c r="D932">
        <f>IF(Criterios!B194="","",Criterios!E194)</f>
        <v/>
      </c>
      <c r="E932">
        <f>IF(Criterios!B194="","",0)</f>
        <v/>
      </c>
      <c r="F932">
        <f>IF(Criterios!B194="","",Criterios!A194)</f>
        <v/>
      </c>
      <c r="G932">
        <f>IF(Criterios!B194="","",194)</f>
        <v/>
      </c>
    </row>
    <row r="933">
      <c r="A933">
        <f>IF(Criterios!B194="","",Criterios!B194)</f>
        <v/>
      </c>
      <c r="B933">
        <f>IF(Criterios!B194="","",Criterios!D194/100)</f>
        <v/>
      </c>
      <c r="C933">
        <f>IF(Criterios!B194="","",'Necesitas_Mejorar')</f>
        <v/>
      </c>
      <c r="D933">
        <f>IF(Criterios!B194="","",Criterios!F194)</f>
        <v/>
      </c>
      <c r="E933">
        <f>IF(Criterios!B194="","",25)</f>
        <v/>
      </c>
      <c r="F933">
        <f>IF(Criterios!B194="","",Criterios!A194)</f>
        <v/>
      </c>
      <c r="G933">
        <f>IF(Criterios!B194="","",194)</f>
        <v/>
      </c>
    </row>
    <row r="934">
      <c r="A934">
        <f>IF(Criterios!B194="","",Criterios!B194)</f>
        <v/>
      </c>
      <c r="B934">
        <f>IF(Criterios!B194="","",Criterios!D194/100)</f>
        <v/>
      </c>
      <c r="C934">
        <f>IF(Criterios!B194="","",'Bueno')</f>
        <v/>
      </c>
      <c r="D934">
        <f>IF(Criterios!B194="","",Criterios!G194)</f>
        <v/>
      </c>
      <c r="E934">
        <f>IF(Criterios!B194="","",50)</f>
        <v/>
      </c>
      <c r="F934">
        <f>IF(Criterios!B194="","",Criterios!A194)</f>
        <v/>
      </c>
      <c r="G934">
        <f>IF(Criterios!B194="","",194)</f>
        <v/>
      </c>
    </row>
    <row r="935">
      <c r="A935">
        <f>IF(Criterios!B194="","",Criterios!B194)</f>
        <v/>
      </c>
      <c r="B935">
        <f>IF(Criterios!B194="","",Criterios!D194/100)</f>
        <v/>
      </c>
      <c r="C935">
        <f>IF(Criterios!B194="","",'Satisfactorio')</f>
        <v/>
      </c>
      <c r="D935">
        <f>IF(Criterios!B194="","",Criterios!H194)</f>
        <v/>
      </c>
      <c r="E935">
        <f>IF(Criterios!B194="","",75)</f>
        <v/>
      </c>
      <c r="F935">
        <f>IF(Criterios!B194="","",Criterios!A194)</f>
        <v/>
      </c>
      <c r="G935">
        <f>IF(Criterios!B194="","",194)</f>
        <v/>
      </c>
    </row>
    <row r="936">
      <c r="A936">
        <f>IF(Criterios!B194="","",Criterios!B194)</f>
        <v/>
      </c>
      <c r="B936">
        <f>IF(Criterios!B194="","",Criterios!D194/100)</f>
        <v/>
      </c>
      <c r="C936">
        <f>IF(Criterios!B194="","",'Excelente')</f>
        <v/>
      </c>
      <c r="D936">
        <f>IF(Criterios!B194="","",Criterios!I194)</f>
        <v/>
      </c>
      <c r="E936">
        <f>IF(Criterios!B194="","",100)</f>
        <v/>
      </c>
      <c r="F936">
        <f>IF(Criterios!B194="","",Criterios!A194)</f>
        <v/>
      </c>
      <c r="G936">
        <f>IF(Criterios!B194="","",194)</f>
        <v/>
      </c>
    </row>
    <row r="937">
      <c r="A937">
        <f>IF(Criterios!B195="","",Criterios!B195)</f>
        <v/>
      </c>
      <c r="B937">
        <f>IF(Criterios!B195="","",Criterios!D195/100)</f>
        <v/>
      </c>
      <c r="C937">
        <f>IF(Criterios!B195="","",'Insatisfactorio')</f>
        <v/>
      </c>
      <c r="D937">
        <f>IF(Criterios!B195="","",Criterios!E195)</f>
        <v/>
      </c>
      <c r="E937">
        <f>IF(Criterios!B195="","",0)</f>
        <v/>
      </c>
      <c r="F937">
        <f>IF(Criterios!B195="","",Criterios!A195)</f>
        <v/>
      </c>
      <c r="G937">
        <f>IF(Criterios!B195="","",195)</f>
        <v/>
      </c>
    </row>
    <row r="938">
      <c r="A938">
        <f>IF(Criterios!B195="","",Criterios!B195)</f>
        <v/>
      </c>
      <c r="B938">
        <f>IF(Criterios!B195="","",Criterios!D195/100)</f>
        <v/>
      </c>
      <c r="C938">
        <f>IF(Criterios!B195="","",'Necesitas_Mejorar')</f>
        <v/>
      </c>
      <c r="D938">
        <f>IF(Criterios!B195="","",Criterios!F195)</f>
        <v/>
      </c>
      <c r="E938">
        <f>IF(Criterios!B195="","",25)</f>
        <v/>
      </c>
      <c r="F938">
        <f>IF(Criterios!B195="","",Criterios!A195)</f>
        <v/>
      </c>
      <c r="G938">
        <f>IF(Criterios!B195="","",195)</f>
        <v/>
      </c>
    </row>
    <row r="939">
      <c r="A939">
        <f>IF(Criterios!B195="","",Criterios!B195)</f>
        <v/>
      </c>
      <c r="B939">
        <f>IF(Criterios!B195="","",Criterios!D195/100)</f>
        <v/>
      </c>
      <c r="C939">
        <f>IF(Criterios!B195="","",'Bueno')</f>
        <v/>
      </c>
      <c r="D939">
        <f>IF(Criterios!B195="","",Criterios!G195)</f>
        <v/>
      </c>
      <c r="E939">
        <f>IF(Criterios!B195="","",50)</f>
        <v/>
      </c>
      <c r="F939">
        <f>IF(Criterios!B195="","",Criterios!A195)</f>
        <v/>
      </c>
      <c r="G939">
        <f>IF(Criterios!B195="","",195)</f>
        <v/>
      </c>
    </row>
    <row r="940">
      <c r="A940">
        <f>IF(Criterios!B195="","",Criterios!B195)</f>
        <v/>
      </c>
      <c r="B940">
        <f>IF(Criterios!B195="","",Criterios!D195/100)</f>
        <v/>
      </c>
      <c r="C940">
        <f>IF(Criterios!B195="","",'Satisfactorio')</f>
        <v/>
      </c>
      <c r="D940">
        <f>IF(Criterios!B195="","",Criterios!H195)</f>
        <v/>
      </c>
      <c r="E940">
        <f>IF(Criterios!B195="","",75)</f>
        <v/>
      </c>
      <c r="F940">
        <f>IF(Criterios!B195="","",Criterios!A195)</f>
        <v/>
      </c>
      <c r="G940">
        <f>IF(Criterios!B195="","",195)</f>
        <v/>
      </c>
    </row>
    <row r="941">
      <c r="A941">
        <f>IF(Criterios!B195="","",Criterios!B195)</f>
        <v/>
      </c>
      <c r="B941">
        <f>IF(Criterios!B195="","",Criterios!D195/100)</f>
        <v/>
      </c>
      <c r="C941">
        <f>IF(Criterios!B195="","",'Excelente')</f>
        <v/>
      </c>
      <c r="D941">
        <f>IF(Criterios!B195="","",Criterios!I195)</f>
        <v/>
      </c>
      <c r="E941">
        <f>IF(Criterios!B195="","",100)</f>
        <v/>
      </c>
      <c r="F941">
        <f>IF(Criterios!B195="","",Criterios!A195)</f>
        <v/>
      </c>
      <c r="G941">
        <f>IF(Criterios!B195="","",195)</f>
        <v/>
      </c>
    </row>
    <row r="942">
      <c r="A942">
        <f>IF(Criterios!B196="","",Criterios!B196)</f>
        <v/>
      </c>
      <c r="B942">
        <f>IF(Criterios!B196="","",Criterios!D196/100)</f>
        <v/>
      </c>
      <c r="C942">
        <f>IF(Criterios!B196="","",'Insatisfactorio')</f>
        <v/>
      </c>
      <c r="D942">
        <f>IF(Criterios!B196="","",Criterios!E196)</f>
        <v/>
      </c>
      <c r="E942">
        <f>IF(Criterios!B196="","",0)</f>
        <v/>
      </c>
      <c r="F942">
        <f>IF(Criterios!B196="","",Criterios!A196)</f>
        <v/>
      </c>
      <c r="G942">
        <f>IF(Criterios!B196="","",196)</f>
        <v/>
      </c>
    </row>
    <row r="943">
      <c r="A943">
        <f>IF(Criterios!B196="","",Criterios!B196)</f>
        <v/>
      </c>
      <c r="B943">
        <f>IF(Criterios!B196="","",Criterios!D196/100)</f>
        <v/>
      </c>
      <c r="C943">
        <f>IF(Criterios!B196="","",'Necesitas_Mejorar')</f>
        <v/>
      </c>
      <c r="D943">
        <f>IF(Criterios!B196="","",Criterios!F196)</f>
        <v/>
      </c>
      <c r="E943">
        <f>IF(Criterios!B196="","",25)</f>
        <v/>
      </c>
      <c r="F943">
        <f>IF(Criterios!B196="","",Criterios!A196)</f>
        <v/>
      </c>
      <c r="G943">
        <f>IF(Criterios!B196="","",196)</f>
        <v/>
      </c>
    </row>
    <row r="944">
      <c r="A944">
        <f>IF(Criterios!B196="","",Criterios!B196)</f>
        <v/>
      </c>
      <c r="B944">
        <f>IF(Criterios!B196="","",Criterios!D196/100)</f>
        <v/>
      </c>
      <c r="C944">
        <f>IF(Criterios!B196="","",'Bueno')</f>
        <v/>
      </c>
      <c r="D944">
        <f>IF(Criterios!B196="","",Criterios!G196)</f>
        <v/>
      </c>
      <c r="E944">
        <f>IF(Criterios!B196="","",50)</f>
        <v/>
      </c>
      <c r="F944">
        <f>IF(Criterios!B196="","",Criterios!A196)</f>
        <v/>
      </c>
      <c r="G944">
        <f>IF(Criterios!B196="","",196)</f>
        <v/>
      </c>
    </row>
    <row r="945">
      <c r="A945">
        <f>IF(Criterios!B196="","",Criterios!B196)</f>
        <v/>
      </c>
      <c r="B945">
        <f>IF(Criterios!B196="","",Criterios!D196/100)</f>
        <v/>
      </c>
      <c r="C945">
        <f>IF(Criterios!B196="","",'Satisfactorio')</f>
        <v/>
      </c>
      <c r="D945">
        <f>IF(Criterios!B196="","",Criterios!H196)</f>
        <v/>
      </c>
      <c r="E945">
        <f>IF(Criterios!B196="","",75)</f>
        <v/>
      </c>
      <c r="F945">
        <f>IF(Criterios!B196="","",Criterios!A196)</f>
        <v/>
      </c>
      <c r="G945">
        <f>IF(Criterios!B196="","",196)</f>
        <v/>
      </c>
    </row>
    <row r="946">
      <c r="A946">
        <f>IF(Criterios!B196="","",Criterios!B196)</f>
        <v/>
      </c>
      <c r="B946">
        <f>IF(Criterios!B196="","",Criterios!D196/100)</f>
        <v/>
      </c>
      <c r="C946">
        <f>IF(Criterios!B196="","",'Excelente')</f>
        <v/>
      </c>
      <c r="D946">
        <f>IF(Criterios!B196="","",Criterios!I196)</f>
        <v/>
      </c>
      <c r="E946">
        <f>IF(Criterios!B196="","",100)</f>
        <v/>
      </c>
      <c r="F946">
        <f>IF(Criterios!B196="","",Criterios!A196)</f>
        <v/>
      </c>
      <c r="G946">
        <f>IF(Criterios!B196="","",196)</f>
        <v/>
      </c>
    </row>
    <row r="947">
      <c r="A947">
        <f>IF(Criterios!B197="","",Criterios!B197)</f>
        <v/>
      </c>
      <c r="B947">
        <f>IF(Criterios!B197="","",Criterios!D197/100)</f>
        <v/>
      </c>
      <c r="C947">
        <f>IF(Criterios!B197="","",'Insatisfactorio')</f>
        <v/>
      </c>
      <c r="D947">
        <f>IF(Criterios!B197="","",Criterios!E197)</f>
        <v/>
      </c>
      <c r="E947">
        <f>IF(Criterios!B197="","",0)</f>
        <v/>
      </c>
      <c r="F947">
        <f>IF(Criterios!B197="","",Criterios!A197)</f>
        <v/>
      </c>
      <c r="G947">
        <f>IF(Criterios!B197="","",197)</f>
        <v/>
      </c>
    </row>
    <row r="948">
      <c r="A948">
        <f>IF(Criterios!B197="","",Criterios!B197)</f>
        <v/>
      </c>
      <c r="B948">
        <f>IF(Criterios!B197="","",Criterios!D197/100)</f>
        <v/>
      </c>
      <c r="C948">
        <f>IF(Criterios!B197="","",'Necesitas_Mejorar')</f>
        <v/>
      </c>
      <c r="D948">
        <f>IF(Criterios!B197="","",Criterios!F197)</f>
        <v/>
      </c>
      <c r="E948">
        <f>IF(Criterios!B197="","",25)</f>
        <v/>
      </c>
      <c r="F948">
        <f>IF(Criterios!B197="","",Criterios!A197)</f>
        <v/>
      </c>
      <c r="G948">
        <f>IF(Criterios!B197="","",197)</f>
        <v/>
      </c>
    </row>
    <row r="949">
      <c r="A949">
        <f>IF(Criterios!B197="","",Criterios!B197)</f>
        <v/>
      </c>
      <c r="B949">
        <f>IF(Criterios!B197="","",Criterios!D197/100)</f>
        <v/>
      </c>
      <c r="C949">
        <f>IF(Criterios!B197="","",'Bueno')</f>
        <v/>
      </c>
      <c r="D949">
        <f>IF(Criterios!B197="","",Criterios!G197)</f>
        <v/>
      </c>
      <c r="E949">
        <f>IF(Criterios!B197="","",50)</f>
        <v/>
      </c>
      <c r="F949">
        <f>IF(Criterios!B197="","",Criterios!A197)</f>
        <v/>
      </c>
      <c r="G949">
        <f>IF(Criterios!B197="","",197)</f>
        <v/>
      </c>
    </row>
    <row r="950">
      <c r="A950">
        <f>IF(Criterios!B197="","",Criterios!B197)</f>
        <v/>
      </c>
      <c r="B950">
        <f>IF(Criterios!B197="","",Criterios!D197/100)</f>
        <v/>
      </c>
      <c r="C950">
        <f>IF(Criterios!B197="","",'Satisfactorio')</f>
        <v/>
      </c>
      <c r="D950">
        <f>IF(Criterios!B197="","",Criterios!H197)</f>
        <v/>
      </c>
      <c r="E950">
        <f>IF(Criterios!B197="","",75)</f>
        <v/>
      </c>
      <c r="F950">
        <f>IF(Criterios!B197="","",Criterios!A197)</f>
        <v/>
      </c>
      <c r="G950">
        <f>IF(Criterios!B197="","",197)</f>
        <v/>
      </c>
    </row>
    <row r="951">
      <c r="A951">
        <f>IF(Criterios!B197="","",Criterios!B197)</f>
        <v/>
      </c>
      <c r="B951">
        <f>IF(Criterios!B197="","",Criterios!D197/100)</f>
        <v/>
      </c>
      <c r="C951">
        <f>IF(Criterios!B197="","",'Excelente')</f>
        <v/>
      </c>
      <c r="D951">
        <f>IF(Criterios!B197="","",Criterios!I197)</f>
        <v/>
      </c>
      <c r="E951">
        <f>IF(Criterios!B197="","",100)</f>
        <v/>
      </c>
      <c r="F951">
        <f>IF(Criterios!B197="","",Criterios!A197)</f>
        <v/>
      </c>
      <c r="G951">
        <f>IF(Criterios!B197="","",197)</f>
        <v/>
      </c>
    </row>
    <row r="952">
      <c r="A952">
        <f>IF(Criterios!B198="","",Criterios!B198)</f>
        <v/>
      </c>
      <c r="B952">
        <f>IF(Criterios!B198="","",Criterios!D198/100)</f>
        <v/>
      </c>
      <c r="C952">
        <f>IF(Criterios!B198="","",'Insatisfactorio')</f>
        <v/>
      </c>
      <c r="D952">
        <f>IF(Criterios!B198="","",Criterios!E198)</f>
        <v/>
      </c>
      <c r="E952">
        <f>IF(Criterios!B198="","",0)</f>
        <v/>
      </c>
      <c r="F952">
        <f>IF(Criterios!B198="","",Criterios!A198)</f>
        <v/>
      </c>
      <c r="G952">
        <f>IF(Criterios!B198="","",198)</f>
        <v/>
      </c>
    </row>
    <row r="953">
      <c r="A953">
        <f>IF(Criterios!B198="","",Criterios!B198)</f>
        <v/>
      </c>
      <c r="B953">
        <f>IF(Criterios!B198="","",Criterios!D198/100)</f>
        <v/>
      </c>
      <c r="C953">
        <f>IF(Criterios!B198="","",'Necesitas_Mejorar')</f>
        <v/>
      </c>
      <c r="D953">
        <f>IF(Criterios!B198="","",Criterios!F198)</f>
        <v/>
      </c>
      <c r="E953">
        <f>IF(Criterios!B198="","",25)</f>
        <v/>
      </c>
      <c r="F953">
        <f>IF(Criterios!B198="","",Criterios!A198)</f>
        <v/>
      </c>
      <c r="G953">
        <f>IF(Criterios!B198="","",198)</f>
        <v/>
      </c>
    </row>
    <row r="954">
      <c r="A954">
        <f>IF(Criterios!B198="","",Criterios!B198)</f>
        <v/>
      </c>
      <c r="B954">
        <f>IF(Criterios!B198="","",Criterios!D198/100)</f>
        <v/>
      </c>
      <c r="C954">
        <f>IF(Criterios!B198="","",'Bueno')</f>
        <v/>
      </c>
      <c r="D954">
        <f>IF(Criterios!B198="","",Criterios!G198)</f>
        <v/>
      </c>
      <c r="E954">
        <f>IF(Criterios!B198="","",50)</f>
        <v/>
      </c>
      <c r="F954">
        <f>IF(Criterios!B198="","",Criterios!A198)</f>
        <v/>
      </c>
      <c r="G954">
        <f>IF(Criterios!B198="","",198)</f>
        <v/>
      </c>
    </row>
    <row r="955">
      <c r="A955">
        <f>IF(Criterios!B198="","",Criterios!B198)</f>
        <v/>
      </c>
      <c r="B955">
        <f>IF(Criterios!B198="","",Criterios!D198/100)</f>
        <v/>
      </c>
      <c r="C955">
        <f>IF(Criterios!B198="","",'Satisfactorio')</f>
        <v/>
      </c>
      <c r="D955">
        <f>IF(Criterios!B198="","",Criterios!H198)</f>
        <v/>
      </c>
      <c r="E955">
        <f>IF(Criterios!B198="","",75)</f>
        <v/>
      </c>
      <c r="F955">
        <f>IF(Criterios!B198="","",Criterios!A198)</f>
        <v/>
      </c>
      <c r="G955">
        <f>IF(Criterios!B198="","",198)</f>
        <v/>
      </c>
    </row>
    <row r="956">
      <c r="A956">
        <f>IF(Criterios!B198="","",Criterios!B198)</f>
        <v/>
      </c>
      <c r="B956">
        <f>IF(Criterios!B198="","",Criterios!D198/100)</f>
        <v/>
      </c>
      <c r="C956">
        <f>IF(Criterios!B198="","",'Excelente')</f>
        <v/>
      </c>
      <c r="D956">
        <f>IF(Criterios!B198="","",Criterios!I198)</f>
        <v/>
      </c>
      <c r="E956">
        <f>IF(Criterios!B198="","",100)</f>
        <v/>
      </c>
      <c r="F956">
        <f>IF(Criterios!B198="","",Criterios!A198)</f>
        <v/>
      </c>
      <c r="G956">
        <f>IF(Criterios!B198="","",198)</f>
        <v/>
      </c>
    </row>
    <row r="957">
      <c r="A957">
        <f>IF(Criterios!B199="","",Criterios!B199)</f>
        <v/>
      </c>
      <c r="B957">
        <f>IF(Criterios!B199="","",Criterios!D199/100)</f>
        <v/>
      </c>
      <c r="C957">
        <f>IF(Criterios!B199="","",'Insatisfactorio')</f>
        <v/>
      </c>
      <c r="D957">
        <f>IF(Criterios!B199="","",Criterios!E199)</f>
        <v/>
      </c>
      <c r="E957">
        <f>IF(Criterios!B199="","",0)</f>
        <v/>
      </c>
      <c r="F957">
        <f>IF(Criterios!B199="","",Criterios!A199)</f>
        <v/>
      </c>
      <c r="G957">
        <f>IF(Criterios!B199="","",199)</f>
        <v/>
      </c>
    </row>
    <row r="958">
      <c r="A958">
        <f>IF(Criterios!B199="","",Criterios!B199)</f>
        <v/>
      </c>
      <c r="B958">
        <f>IF(Criterios!B199="","",Criterios!D199/100)</f>
        <v/>
      </c>
      <c r="C958">
        <f>IF(Criterios!B199="","",'Necesitas_Mejorar')</f>
        <v/>
      </c>
      <c r="D958">
        <f>IF(Criterios!B199="","",Criterios!F199)</f>
        <v/>
      </c>
      <c r="E958">
        <f>IF(Criterios!B199="","",25)</f>
        <v/>
      </c>
      <c r="F958">
        <f>IF(Criterios!B199="","",Criterios!A199)</f>
        <v/>
      </c>
      <c r="G958">
        <f>IF(Criterios!B199="","",199)</f>
        <v/>
      </c>
    </row>
    <row r="959">
      <c r="A959">
        <f>IF(Criterios!B199="","",Criterios!B199)</f>
        <v/>
      </c>
      <c r="B959">
        <f>IF(Criterios!B199="","",Criterios!D199/100)</f>
        <v/>
      </c>
      <c r="C959">
        <f>IF(Criterios!B199="","",'Bueno')</f>
        <v/>
      </c>
      <c r="D959">
        <f>IF(Criterios!B199="","",Criterios!G199)</f>
        <v/>
      </c>
      <c r="E959">
        <f>IF(Criterios!B199="","",50)</f>
        <v/>
      </c>
      <c r="F959">
        <f>IF(Criterios!B199="","",Criterios!A199)</f>
        <v/>
      </c>
      <c r="G959">
        <f>IF(Criterios!B199="","",199)</f>
        <v/>
      </c>
    </row>
    <row r="960">
      <c r="A960">
        <f>IF(Criterios!B199="","",Criterios!B199)</f>
        <v/>
      </c>
      <c r="B960">
        <f>IF(Criterios!B199="","",Criterios!D199/100)</f>
        <v/>
      </c>
      <c r="C960">
        <f>IF(Criterios!B199="","",'Satisfactorio')</f>
        <v/>
      </c>
      <c r="D960">
        <f>IF(Criterios!B199="","",Criterios!H199)</f>
        <v/>
      </c>
      <c r="E960">
        <f>IF(Criterios!B199="","",75)</f>
        <v/>
      </c>
      <c r="F960">
        <f>IF(Criterios!B199="","",Criterios!A199)</f>
        <v/>
      </c>
      <c r="G960">
        <f>IF(Criterios!B199="","",199)</f>
        <v/>
      </c>
    </row>
    <row r="961">
      <c r="A961">
        <f>IF(Criterios!B199="","",Criterios!B199)</f>
        <v/>
      </c>
      <c r="B961">
        <f>IF(Criterios!B199="","",Criterios!D199/100)</f>
        <v/>
      </c>
      <c r="C961">
        <f>IF(Criterios!B199="","",'Excelente')</f>
        <v/>
      </c>
      <c r="D961">
        <f>IF(Criterios!B199="","",Criterios!I199)</f>
        <v/>
      </c>
      <c r="E961">
        <f>IF(Criterios!B199="","",100)</f>
        <v/>
      </c>
      <c r="F961">
        <f>IF(Criterios!B199="","",Criterios!A199)</f>
        <v/>
      </c>
      <c r="G961">
        <f>IF(Criterios!B199="","",199)</f>
        <v/>
      </c>
    </row>
    <row r="962">
      <c r="A962">
        <f>IF(Criterios!B200="","",Criterios!B200)</f>
        <v/>
      </c>
      <c r="B962">
        <f>IF(Criterios!B200="","",Criterios!D200/100)</f>
        <v/>
      </c>
      <c r="C962">
        <f>IF(Criterios!B200="","",'Insatisfactorio')</f>
        <v/>
      </c>
      <c r="D962">
        <f>IF(Criterios!B200="","",Criterios!E200)</f>
        <v/>
      </c>
      <c r="E962">
        <f>IF(Criterios!B200="","",0)</f>
        <v/>
      </c>
      <c r="F962">
        <f>IF(Criterios!B200="","",Criterios!A200)</f>
        <v/>
      </c>
      <c r="G962">
        <f>IF(Criterios!B200="","",200)</f>
        <v/>
      </c>
    </row>
    <row r="963">
      <c r="A963">
        <f>IF(Criterios!B200="","",Criterios!B200)</f>
        <v/>
      </c>
      <c r="B963">
        <f>IF(Criterios!B200="","",Criterios!D200/100)</f>
        <v/>
      </c>
      <c r="C963">
        <f>IF(Criterios!B200="","",'Necesitas_Mejorar')</f>
        <v/>
      </c>
      <c r="D963">
        <f>IF(Criterios!B200="","",Criterios!F200)</f>
        <v/>
      </c>
      <c r="E963">
        <f>IF(Criterios!B200="","",25)</f>
        <v/>
      </c>
      <c r="F963">
        <f>IF(Criterios!B200="","",Criterios!A200)</f>
        <v/>
      </c>
      <c r="G963">
        <f>IF(Criterios!B200="","",200)</f>
        <v/>
      </c>
    </row>
    <row r="964">
      <c r="A964">
        <f>IF(Criterios!B200="","",Criterios!B200)</f>
        <v/>
      </c>
      <c r="B964">
        <f>IF(Criterios!B200="","",Criterios!D200/100)</f>
        <v/>
      </c>
      <c r="C964">
        <f>IF(Criterios!B200="","",'Bueno')</f>
        <v/>
      </c>
      <c r="D964">
        <f>IF(Criterios!B200="","",Criterios!G200)</f>
        <v/>
      </c>
      <c r="E964">
        <f>IF(Criterios!B200="","",50)</f>
        <v/>
      </c>
      <c r="F964">
        <f>IF(Criterios!B200="","",Criterios!A200)</f>
        <v/>
      </c>
      <c r="G964">
        <f>IF(Criterios!B200="","",200)</f>
        <v/>
      </c>
    </row>
    <row r="965">
      <c r="A965">
        <f>IF(Criterios!B200="","",Criterios!B200)</f>
        <v/>
      </c>
      <c r="B965">
        <f>IF(Criterios!B200="","",Criterios!D200/100)</f>
        <v/>
      </c>
      <c r="C965">
        <f>IF(Criterios!B200="","",'Satisfactorio')</f>
        <v/>
      </c>
      <c r="D965">
        <f>IF(Criterios!B200="","",Criterios!H200)</f>
        <v/>
      </c>
      <c r="E965">
        <f>IF(Criterios!B200="","",75)</f>
        <v/>
      </c>
      <c r="F965">
        <f>IF(Criterios!B200="","",Criterios!A200)</f>
        <v/>
      </c>
      <c r="G965">
        <f>IF(Criterios!B200="","",200)</f>
        <v/>
      </c>
    </row>
    <row r="966">
      <c r="A966">
        <f>IF(Criterios!B200="","",Criterios!B200)</f>
        <v/>
      </c>
      <c r="B966">
        <f>IF(Criterios!B200="","",Criterios!D200/100)</f>
        <v/>
      </c>
      <c r="C966">
        <f>IF(Criterios!B200="","",'Excelente')</f>
        <v/>
      </c>
      <c r="D966">
        <f>IF(Criterios!B200="","",Criterios!I200)</f>
        <v/>
      </c>
      <c r="E966">
        <f>IF(Criterios!B200="","",100)</f>
        <v/>
      </c>
      <c r="F966">
        <f>IF(Criterios!B200="","",Criterios!A200)</f>
        <v/>
      </c>
      <c r="G966">
        <f>IF(Criterios!B200="","",200)</f>
        <v/>
      </c>
    </row>
    <row r="967">
      <c r="A967">
        <f>IF(Criterios!B201="","",Criterios!B201)</f>
        <v/>
      </c>
      <c r="B967">
        <f>IF(Criterios!B201="","",Criterios!D201/100)</f>
        <v/>
      </c>
      <c r="C967">
        <f>IF(Criterios!B201="","",'Insatisfactorio')</f>
        <v/>
      </c>
      <c r="D967">
        <f>IF(Criterios!B201="","",Criterios!E201)</f>
        <v/>
      </c>
      <c r="E967">
        <f>IF(Criterios!B201="","",0)</f>
        <v/>
      </c>
      <c r="F967">
        <f>IF(Criterios!B201="","",Criterios!A201)</f>
        <v/>
      </c>
      <c r="G967">
        <f>IF(Criterios!B201="","",201)</f>
        <v/>
      </c>
    </row>
    <row r="968">
      <c r="A968">
        <f>IF(Criterios!B201="","",Criterios!B201)</f>
        <v/>
      </c>
      <c r="B968">
        <f>IF(Criterios!B201="","",Criterios!D201/100)</f>
        <v/>
      </c>
      <c r="C968">
        <f>IF(Criterios!B201="","",'Necesitas_Mejorar')</f>
        <v/>
      </c>
      <c r="D968">
        <f>IF(Criterios!B201="","",Criterios!F201)</f>
        <v/>
      </c>
      <c r="E968">
        <f>IF(Criterios!B201="","",25)</f>
        <v/>
      </c>
      <c r="F968">
        <f>IF(Criterios!B201="","",Criterios!A201)</f>
        <v/>
      </c>
      <c r="G968">
        <f>IF(Criterios!B201="","",201)</f>
        <v/>
      </c>
    </row>
    <row r="969">
      <c r="A969">
        <f>IF(Criterios!B201="","",Criterios!B201)</f>
        <v/>
      </c>
      <c r="B969">
        <f>IF(Criterios!B201="","",Criterios!D201/100)</f>
        <v/>
      </c>
      <c r="C969">
        <f>IF(Criterios!B201="","",'Bueno')</f>
        <v/>
      </c>
      <c r="D969">
        <f>IF(Criterios!B201="","",Criterios!G201)</f>
        <v/>
      </c>
      <c r="E969">
        <f>IF(Criterios!B201="","",50)</f>
        <v/>
      </c>
      <c r="F969">
        <f>IF(Criterios!B201="","",Criterios!A201)</f>
        <v/>
      </c>
      <c r="G969">
        <f>IF(Criterios!B201="","",201)</f>
        <v/>
      </c>
    </row>
    <row r="970">
      <c r="A970">
        <f>IF(Criterios!B201="","",Criterios!B201)</f>
        <v/>
      </c>
      <c r="B970">
        <f>IF(Criterios!B201="","",Criterios!D201/100)</f>
        <v/>
      </c>
      <c r="C970">
        <f>IF(Criterios!B201="","",'Satisfactorio')</f>
        <v/>
      </c>
      <c r="D970">
        <f>IF(Criterios!B201="","",Criterios!H201)</f>
        <v/>
      </c>
      <c r="E970">
        <f>IF(Criterios!B201="","",75)</f>
        <v/>
      </c>
      <c r="F970">
        <f>IF(Criterios!B201="","",Criterios!A201)</f>
        <v/>
      </c>
      <c r="G970">
        <f>IF(Criterios!B201="","",201)</f>
        <v/>
      </c>
    </row>
    <row r="971">
      <c r="A971">
        <f>IF(Criterios!B201="","",Criterios!B201)</f>
        <v/>
      </c>
      <c r="B971">
        <f>IF(Criterios!B201="","",Criterios!D201/100)</f>
        <v/>
      </c>
      <c r="C971">
        <f>IF(Criterios!B201="","",'Excelente')</f>
        <v/>
      </c>
      <c r="D971">
        <f>IF(Criterios!B201="","",Criterios!I201)</f>
        <v/>
      </c>
      <c r="E971">
        <f>IF(Criterios!B201="","",100)</f>
        <v/>
      </c>
      <c r="F971">
        <f>IF(Criterios!B201="","",Criterios!A201)</f>
        <v/>
      </c>
      <c r="G971">
        <f>IF(Criterios!B201="","",201)</f>
        <v/>
      </c>
    </row>
    <row r="972">
      <c r="A972">
        <f>IF(Criterios!B202="","",Criterios!B202)</f>
        <v/>
      </c>
      <c r="B972">
        <f>IF(Criterios!B202="","",Criterios!D202/100)</f>
        <v/>
      </c>
      <c r="C972">
        <f>IF(Criterios!B202="","",'Insatisfactorio')</f>
        <v/>
      </c>
      <c r="D972">
        <f>IF(Criterios!B202="","",Criterios!E202)</f>
        <v/>
      </c>
      <c r="E972">
        <f>IF(Criterios!B202="","",0)</f>
        <v/>
      </c>
      <c r="F972">
        <f>IF(Criterios!B202="","",Criterios!A202)</f>
        <v/>
      </c>
      <c r="G972">
        <f>IF(Criterios!B202="","",202)</f>
        <v/>
      </c>
    </row>
    <row r="973">
      <c r="A973">
        <f>IF(Criterios!B202="","",Criterios!B202)</f>
        <v/>
      </c>
      <c r="B973">
        <f>IF(Criterios!B202="","",Criterios!D202/100)</f>
        <v/>
      </c>
      <c r="C973">
        <f>IF(Criterios!B202="","",'Necesitas_Mejorar')</f>
        <v/>
      </c>
      <c r="D973">
        <f>IF(Criterios!B202="","",Criterios!F202)</f>
        <v/>
      </c>
      <c r="E973">
        <f>IF(Criterios!B202="","",25)</f>
        <v/>
      </c>
      <c r="F973">
        <f>IF(Criterios!B202="","",Criterios!A202)</f>
        <v/>
      </c>
      <c r="G973">
        <f>IF(Criterios!B202="","",202)</f>
        <v/>
      </c>
    </row>
    <row r="974">
      <c r="A974">
        <f>IF(Criterios!B202="","",Criterios!B202)</f>
        <v/>
      </c>
      <c r="B974">
        <f>IF(Criterios!B202="","",Criterios!D202/100)</f>
        <v/>
      </c>
      <c r="C974">
        <f>IF(Criterios!B202="","",'Bueno')</f>
        <v/>
      </c>
      <c r="D974">
        <f>IF(Criterios!B202="","",Criterios!G202)</f>
        <v/>
      </c>
      <c r="E974">
        <f>IF(Criterios!B202="","",50)</f>
        <v/>
      </c>
      <c r="F974">
        <f>IF(Criterios!B202="","",Criterios!A202)</f>
        <v/>
      </c>
      <c r="G974">
        <f>IF(Criterios!B202="","",202)</f>
        <v/>
      </c>
    </row>
    <row r="975">
      <c r="A975">
        <f>IF(Criterios!B202="","",Criterios!B202)</f>
        <v/>
      </c>
      <c r="B975">
        <f>IF(Criterios!B202="","",Criterios!D202/100)</f>
        <v/>
      </c>
      <c r="C975">
        <f>IF(Criterios!B202="","",'Satisfactorio')</f>
        <v/>
      </c>
      <c r="D975">
        <f>IF(Criterios!B202="","",Criterios!H202)</f>
        <v/>
      </c>
      <c r="E975">
        <f>IF(Criterios!B202="","",75)</f>
        <v/>
      </c>
      <c r="F975">
        <f>IF(Criterios!B202="","",Criterios!A202)</f>
        <v/>
      </c>
      <c r="G975">
        <f>IF(Criterios!B202="","",202)</f>
        <v/>
      </c>
    </row>
    <row r="976">
      <c r="A976">
        <f>IF(Criterios!B202="","",Criterios!B202)</f>
        <v/>
      </c>
      <c r="B976">
        <f>IF(Criterios!B202="","",Criterios!D202/100)</f>
        <v/>
      </c>
      <c r="C976">
        <f>IF(Criterios!B202="","",'Excelente')</f>
        <v/>
      </c>
      <c r="D976">
        <f>IF(Criterios!B202="","",Criterios!I202)</f>
        <v/>
      </c>
      <c r="E976">
        <f>IF(Criterios!B202="","",100)</f>
        <v/>
      </c>
      <c r="F976">
        <f>IF(Criterios!B202="","",Criterios!A202)</f>
        <v/>
      </c>
      <c r="G976">
        <f>IF(Criterios!B202="","",202)</f>
        <v/>
      </c>
    </row>
    <row r="977">
      <c r="A977">
        <f>IF(Criterios!B203="","",Criterios!B203)</f>
        <v/>
      </c>
      <c r="B977">
        <f>IF(Criterios!B203="","",Criterios!D203/100)</f>
        <v/>
      </c>
      <c r="C977">
        <f>IF(Criterios!B203="","",'Insatisfactorio')</f>
        <v/>
      </c>
      <c r="D977">
        <f>IF(Criterios!B203="","",Criterios!E203)</f>
        <v/>
      </c>
      <c r="E977">
        <f>IF(Criterios!B203="","",0)</f>
        <v/>
      </c>
      <c r="F977">
        <f>IF(Criterios!B203="","",Criterios!A203)</f>
        <v/>
      </c>
      <c r="G977">
        <f>IF(Criterios!B203="","",203)</f>
        <v/>
      </c>
    </row>
    <row r="978">
      <c r="A978">
        <f>IF(Criterios!B203="","",Criterios!B203)</f>
        <v/>
      </c>
      <c r="B978">
        <f>IF(Criterios!B203="","",Criterios!D203/100)</f>
        <v/>
      </c>
      <c r="C978">
        <f>IF(Criterios!B203="","",'Necesitas_Mejorar')</f>
        <v/>
      </c>
      <c r="D978">
        <f>IF(Criterios!B203="","",Criterios!F203)</f>
        <v/>
      </c>
      <c r="E978">
        <f>IF(Criterios!B203="","",25)</f>
        <v/>
      </c>
      <c r="F978">
        <f>IF(Criterios!B203="","",Criterios!A203)</f>
        <v/>
      </c>
      <c r="G978">
        <f>IF(Criterios!B203="","",203)</f>
        <v/>
      </c>
    </row>
    <row r="979">
      <c r="A979">
        <f>IF(Criterios!B203="","",Criterios!B203)</f>
        <v/>
      </c>
      <c r="B979">
        <f>IF(Criterios!B203="","",Criterios!D203/100)</f>
        <v/>
      </c>
      <c r="C979">
        <f>IF(Criterios!B203="","",'Bueno')</f>
        <v/>
      </c>
      <c r="D979">
        <f>IF(Criterios!B203="","",Criterios!G203)</f>
        <v/>
      </c>
      <c r="E979">
        <f>IF(Criterios!B203="","",50)</f>
        <v/>
      </c>
      <c r="F979">
        <f>IF(Criterios!B203="","",Criterios!A203)</f>
        <v/>
      </c>
      <c r="G979">
        <f>IF(Criterios!B203="","",203)</f>
        <v/>
      </c>
    </row>
    <row r="980">
      <c r="A980">
        <f>IF(Criterios!B203="","",Criterios!B203)</f>
        <v/>
      </c>
      <c r="B980">
        <f>IF(Criterios!B203="","",Criterios!D203/100)</f>
        <v/>
      </c>
      <c r="C980">
        <f>IF(Criterios!B203="","",'Satisfactorio')</f>
        <v/>
      </c>
      <c r="D980">
        <f>IF(Criterios!B203="","",Criterios!H203)</f>
        <v/>
      </c>
      <c r="E980">
        <f>IF(Criterios!B203="","",75)</f>
        <v/>
      </c>
      <c r="F980">
        <f>IF(Criterios!B203="","",Criterios!A203)</f>
        <v/>
      </c>
      <c r="G980">
        <f>IF(Criterios!B203="","",203)</f>
        <v/>
      </c>
    </row>
    <row r="981">
      <c r="A981">
        <f>IF(Criterios!B203="","",Criterios!B203)</f>
        <v/>
      </c>
      <c r="B981">
        <f>IF(Criterios!B203="","",Criterios!D203/100)</f>
        <v/>
      </c>
      <c r="C981">
        <f>IF(Criterios!B203="","",'Excelente')</f>
        <v/>
      </c>
      <c r="D981">
        <f>IF(Criterios!B203="","",Criterios!I203)</f>
        <v/>
      </c>
      <c r="E981">
        <f>IF(Criterios!B203="","",100)</f>
        <v/>
      </c>
      <c r="F981">
        <f>IF(Criterios!B203="","",Criterios!A203)</f>
        <v/>
      </c>
      <c r="G981">
        <f>IF(Criterios!B203="","",203)</f>
        <v/>
      </c>
    </row>
    <row r="982">
      <c r="A982">
        <f>IF(Criterios!B204="","",Criterios!B204)</f>
        <v/>
      </c>
      <c r="B982">
        <f>IF(Criterios!B204="","",Criterios!D204/100)</f>
        <v/>
      </c>
      <c r="C982">
        <f>IF(Criterios!B204="","",'Insatisfactorio')</f>
        <v/>
      </c>
      <c r="D982">
        <f>IF(Criterios!B204="","",Criterios!E204)</f>
        <v/>
      </c>
      <c r="E982">
        <f>IF(Criterios!B204="","",0)</f>
        <v/>
      </c>
      <c r="F982">
        <f>IF(Criterios!B204="","",Criterios!A204)</f>
        <v/>
      </c>
      <c r="G982">
        <f>IF(Criterios!B204="","",204)</f>
        <v/>
      </c>
    </row>
    <row r="983">
      <c r="A983">
        <f>IF(Criterios!B204="","",Criterios!B204)</f>
        <v/>
      </c>
      <c r="B983">
        <f>IF(Criterios!B204="","",Criterios!D204/100)</f>
        <v/>
      </c>
      <c r="C983">
        <f>IF(Criterios!B204="","",'Necesitas_Mejorar')</f>
        <v/>
      </c>
      <c r="D983">
        <f>IF(Criterios!B204="","",Criterios!F204)</f>
        <v/>
      </c>
      <c r="E983">
        <f>IF(Criterios!B204="","",25)</f>
        <v/>
      </c>
      <c r="F983">
        <f>IF(Criterios!B204="","",Criterios!A204)</f>
        <v/>
      </c>
      <c r="G983">
        <f>IF(Criterios!B204="","",204)</f>
        <v/>
      </c>
    </row>
    <row r="984">
      <c r="A984">
        <f>IF(Criterios!B204="","",Criterios!B204)</f>
        <v/>
      </c>
      <c r="B984">
        <f>IF(Criterios!B204="","",Criterios!D204/100)</f>
        <v/>
      </c>
      <c r="C984">
        <f>IF(Criterios!B204="","",'Bueno')</f>
        <v/>
      </c>
      <c r="D984">
        <f>IF(Criterios!B204="","",Criterios!G204)</f>
        <v/>
      </c>
      <c r="E984">
        <f>IF(Criterios!B204="","",50)</f>
        <v/>
      </c>
      <c r="F984">
        <f>IF(Criterios!B204="","",Criterios!A204)</f>
        <v/>
      </c>
      <c r="G984">
        <f>IF(Criterios!B204="","",204)</f>
        <v/>
      </c>
    </row>
    <row r="985">
      <c r="A985">
        <f>IF(Criterios!B204="","",Criterios!B204)</f>
        <v/>
      </c>
      <c r="B985">
        <f>IF(Criterios!B204="","",Criterios!D204/100)</f>
        <v/>
      </c>
      <c r="C985">
        <f>IF(Criterios!B204="","",'Satisfactorio')</f>
        <v/>
      </c>
      <c r="D985">
        <f>IF(Criterios!B204="","",Criterios!H204)</f>
        <v/>
      </c>
      <c r="E985">
        <f>IF(Criterios!B204="","",75)</f>
        <v/>
      </c>
      <c r="F985">
        <f>IF(Criterios!B204="","",Criterios!A204)</f>
        <v/>
      </c>
      <c r="G985">
        <f>IF(Criterios!B204="","",204)</f>
        <v/>
      </c>
    </row>
    <row r="986">
      <c r="A986">
        <f>IF(Criterios!B204="","",Criterios!B204)</f>
        <v/>
      </c>
      <c r="B986">
        <f>IF(Criterios!B204="","",Criterios!D204/100)</f>
        <v/>
      </c>
      <c r="C986">
        <f>IF(Criterios!B204="","",'Excelente')</f>
        <v/>
      </c>
      <c r="D986">
        <f>IF(Criterios!B204="","",Criterios!I204)</f>
        <v/>
      </c>
      <c r="E986">
        <f>IF(Criterios!B204="","",100)</f>
        <v/>
      </c>
      <c r="F986">
        <f>IF(Criterios!B204="","",Criterios!A204)</f>
        <v/>
      </c>
      <c r="G986">
        <f>IF(Criterios!B204="","",204)</f>
        <v/>
      </c>
    </row>
    <row r="987">
      <c r="A987">
        <f>IF(Criterios!B205="","",Criterios!B205)</f>
        <v/>
      </c>
      <c r="B987">
        <f>IF(Criterios!B205="","",Criterios!D205/100)</f>
        <v/>
      </c>
      <c r="C987">
        <f>IF(Criterios!B205="","",'Insatisfactorio')</f>
        <v/>
      </c>
      <c r="D987">
        <f>IF(Criterios!B205="","",Criterios!E205)</f>
        <v/>
      </c>
      <c r="E987">
        <f>IF(Criterios!B205="","",0)</f>
        <v/>
      </c>
      <c r="F987">
        <f>IF(Criterios!B205="","",Criterios!A205)</f>
        <v/>
      </c>
      <c r="G987">
        <f>IF(Criterios!B205="","",205)</f>
        <v/>
      </c>
    </row>
    <row r="988">
      <c r="A988">
        <f>IF(Criterios!B205="","",Criterios!B205)</f>
        <v/>
      </c>
      <c r="B988">
        <f>IF(Criterios!B205="","",Criterios!D205/100)</f>
        <v/>
      </c>
      <c r="C988">
        <f>IF(Criterios!B205="","",'Necesitas_Mejorar')</f>
        <v/>
      </c>
      <c r="D988">
        <f>IF(Criterios!B205="","",Criterios!F205)</f>
        <v/>
      </c>
      <c r="E988">
        <f>IF(Criterios!B205="","",25)</f>
        <v/>
      </c>
      <c r="F988">
        <f>IF(Criterios!B205="","",Criterios!A205)</f>
        <v/>
      </c>
      <c r="G988">
        <f>IF(Criterios!B205="","",205)</f>
        <v/>
      </c>
    </row>
    <row r="989">
      <c r="A989">
        <f>IF(Criterios!B205="","",Criterios!B205)</f>
        <v/>
      </c>
      <c r="B989">
        <f>IF(Criterios!B205="","",Criterios!D205/100)</f>
        <v/>
      </c>
      <c r="C989">
        <f>IF(Criterios!B205="","",'Bueno')</f>
        <v/>
      </c>
      <c r="D989">
        <f>IF(Criterios!B205="","",Criterios!G205)</f>
        <v/>
      </c>
      <c r="E989">
        <f>IF(Criterios!B205="","",50)</f>
        <v/>
      </c>
      <c r="F989">
        <f>IF(Criterios!B205="","",Criterios!A205)</f>
        <v/>
      </c>
      <c r="G989">
        <f>IF(Criterios!B205="","",205)</f>
        <v/>
      </c>
    </row>
    <row r="990">
      <c r="A990">
        <f>IF(Criterios!B205="","",Criterios!B205)</f>
        <v/>
      </c>
      <c r="B990">
        <f>IF(Criterios!B205="","",Criterios!D205/100)</f>
        <v/>
      </c>
      <c r="C990">
        <f>IF(Criterios!B205="","",'Satisfactorio')</f>
        <v/>
      </c>
      <c r="D990">
        <f>IF(Criterios!B205="","",Criterios!H205)</f>
        <v/>
      </c>
      <c r="E990">
        <f>IF(Criterios!B205="","",75)</f>
        <v/>
      </c>
      <c r="F990">
        <f>IF(Criterios!B205="","",Criterios!A205)</f>
        <v/>
      </c>
      <c r="G990">
        <f>IF(Criterios!B205="","",205)</f>
        <v/>
      </c>
    </row>
    <row r="991">
      <c r="A991">
        <f>IF(Criterios!B205="","",Criterios!B205)</f>
        <v/>
      </c>
      <c r="B991">
        <f>IF(Criterios!B205="","",Criterios!D205/100)</f>
        <v/>
      </c>
      <c r="C991">
        <f>IF(Criterios!B205="","",'Excelente')</f>
        <v/>
      </c>
      <c r="D991">
        <f>IF(Criterios!B205="","",Criterios!I205)</f>
        <v/>
      </c>
      <c r="E991">
        <f>IF(Criterios!B205="","",100)</f>
        <v/>
      </c>
      <c r="F991">
        <f>IF(Criterios!B205="","",Criterios!A205)</f>
        <v/>
      </c>
      <c r="G991">
        <f>IF(Criterios!B205="","",205)</f>
        <v/>
      </c>
    </row>
    <row r="992">
      <c r="A992">
        <f>IF(Criterios!B206="","",Criterios!B206)</f>
        <v/>
      </c>
      <c r="B992">
        <f>IF(Criterios!B206="","",Criterios!D206/100)</f>
        <v/>
      </c>
      <c r="C992">
        <f>IF(Criterios!B206="","",'Insatisfactorio')</f>
        <v/>
      </c>
      <c r="D992">
        <f>IF(Criterios!B206="","",Criterios!E206)</f>
        <v/>
      </c>
      <c r="E992">
        <f>IF(Criterios!B206="","",0)</f>
        <v/>
      </c>
      <c r="F992">
        <f>IF(Criterios!B206="","",Criterios!A206)</f>
        <v/>
      </c>
      <c r="G992">
        <f>IF(Criterios!B206="","",206)</f>
        <v/>
      </c>
    </row>
    <row r="993">
      <c r="A993">
        <f>IF(Criterios!B206="","",Criterios!B206)</f>
        <v/>
      </c>
      <c r="B993">
        <f>IF(Criterios!B206="","",Criterios!D206/100)</f>
        <v/>
      </c>
      <c r="C993">
        <f>IF(Criterios!B206="","",'Necesitas_Mejorar')</f>
        <v/>
      </c>
      <c r="D993">
        <f>IF(Criterios!B206="","",Criterios!F206)</f>
        <v/>
      </c>
      <c r="E993">
        <f>IF(Criterios!B206="","",25)</f>
        <v/>
      </c>
      <c r="F993">
        <f>IF(Criterios!B206="","",Criterios!A206)</f>
        <v/>
      </c>
      <c r="G993">
        <f>IF(Criterios!B206="","",206)</f>
        <v/>
      </c>
    </row>
    <row r="994">
      <c r="A994">
        <f>IF(Criterios!B206="","",Criterios!B206)</f>
        <v/>
      </c>
      <c r="B994">
        <f>IF(Criterios!B206="","",Criterios!D206/100)</f>
        <v/>
      </c>
      <c r="C994">
        <f>IF(Criterios!B206="","",'Bueno')</f>
        <v/>
      </c>
      <c r="D994">
        <f>IF(Criterios!B206="","",Criterios!G206)</f>
        <v/>
      </c>
      <c r="E994">
        <f>IF(Criterios!B206="","",50)</f>
        <v/>
      </c>
      <c r="F994">
        <f>IF(Criterios!B206="","",Criterios!A206)</f>
        <v/>
      </c>
      <c r="G994">
        <f>IF(Criterios!B206="","",206)</f>
        <v/>
      </c>
    </row>
    <row r="995">
      <c r="A995">
        <f>IF(Criterios!B206="","",Criterios!B206)</f>
        <v/>
      </c>
      <c r="B995">
        <f>IF(Criterios!B206="","",Criterios!D206/100)</f>
        <v/>
      </c>
      <c r="C995">
        <f>IF(Criterios!B206="","",'Satisfactorio')</f>
        <v/>
      </c>
      <c r="D995">
        <f>IF(Criterios!B206="","",Criterios!H206)</f>
        <v/>
      </c>
      <c r="E995">
        <f>IF(Criterios!B206="","",75)</f>
        <v/>
      </c>
      <c r="F995">
        <f>IF(Criterios!B206="","",Criterios!A206)</f>
        <v/>
      </c>
      <c r="G995">
        <f>IF(Criterios!B206="","",206)</f>
        <v/>
      </c>
    </row>
    <row r="996">
      <c r="A996">
        <f>IF(Criterios!B206="","",Criterios!B206)</f>
        <v/>
      </c>
      <c r="B996">
        <f>IF(Criterios!B206="","",Criterios!D206/100)</f>
        <v/>
      </c>
      <c r="C996">
        <f>IF(Criterios!B206="","",'Excelente')</f>
        <v/>
      </c>
      <c r="D996">
        <f>IF(Criterios!B206="","",Criterios!I206)</f>
        <v/>
      </c>
      <c r="E996">
        <f>IF(Criterios!B206="","",100)</f>
        <v/>
      </c>
      <c r="F996">
        <f>IF(Criterios!B206="","",Criterios!A206)</f>
        <v/>
      </c>
      <c r="G996">
        <f>IF(Criterios!B206="","",206)</f>
        <v/>
      </c>
    </row>
    <row r="997">
      <c r="A997">
        <f>IF(Criterios!B207="","",Criterios!B207)</f>
        <v/>
      </c>
      <c r="B997">
        <f>IF(Criterios!B207="","",Criterios!D207/100)</f>
        <v/>
      </c>
      <c r="C997">
        <f>IF(Criterios!B207="","",'Insatisfactorio')</f>
        <v/>
      </c>
      <c r="D997">
        <f>IF(Criterios!B207="","",Criterios!E207)</f>
        <v/>
      </c>
      <c r="E997">
        <f>IF(Criterios!B207="","",0)</f>
        <v/>
      </c>
      <c r="F997">
        <f>IF(Criterios!B207="","",Criterios!A207)</f>
        <v/>
      </c>
      <c r="G997">
        <f>IF(Criterios!B207="","",207)</f>
        <v/>
      </c>
    </row>
    <row r="998">
      <c r="A998">
        <f>IF(Criterios!B207="","",Criterios!B207)</f>
        <v/>
      </c>
      <c r="B998">
        <f>IF(Criterios!B207="","",Criterios!D207/100)</f>
        <v/>
      </c>
      <c r="C998">
        <f>IF(Criterios!B207="","",'Necesitas_Mejorar')</f>
        <v/>
      </c>
      <c r="D998">
        <f>IF(Criterios!B207="","",Criterios!F207)</f>
        <v/>
      </c>
      <c r="E998">
        <f>IF(Criterios!B207="","",25)</f>
        <v/>
      </c>
      <c r="F998">
        <f>IF(Criterios!B207="","",Criterios!A207)</f>
        <v/>
      </c>
      <c r="G998">
        <f>IF(Criterios!B207="","",207)</f>
        <v/>
      </c>
    </row>
    <row r="999">
      <c r="A999">
        <f>IF(Criterios!B207="","",Criterios!B207)</f>
        <v/>
      </c>
      <c r="B999">
        <f>IF(Criterios!B207="","",Criterios!D207/100)</f>
        <v/>
      </c>
      <c r="C999">
        <f>IF(Criterios!B207="","",'Bueno')</f>
        <v/>
      </c>
      <c r="D999">
        <f>IF(Criterios!B207="","",Criterios!G207)</f>
        <v/>
      </c>
      <c r="E999">
        <f>IF(Criterios!B207="","",50)</f>
        <v/>
      </c>
      <c r="F999">
        <f>IF(Criterios!B207="","",Criterios!A207)</f>
        <v/>
      </c>
      <c r="G999">
        <f>IF(Criterios!B207="","",207)</f>
        <v/>
      </c>
    </row>
    <row r="1000">
      <c r="A1000">
        <f>IF(Criterios!B207="","",Criterios!B207)</f>
        <v/>
      </c>
      <c r="B1000">
        <f>IF(Criterios!B207="","",Criterios!D207/100)</f>
        <v/>
      </c>
      <c r="C1000">
        <f>IF(Criterios!B207="","",'Satisfactorio')</f>
        <v/>
      </c>
      <c r="D1000">
        <f>IF(Criterios!B207="","",Criterios!H207)</f>
        <v/>
      </c>
      <c r="E1000">
        <f>IF(Criterios!B207="","",75)</f>
        <v/>
      </c>
      <c r="F1000">
        <f>IF(Criterios!B207="","",Criterios!A207)</f>
        <v/>
      </c>
      <c r="G1000">
        <f>IF(Criterios!B207="","",207)</f>
        <v/>
      </c>
    </row>
    <row r="1001">
      <c r="A1001">
        <f>IF(Criterios!B207="","",Criterios!B207)</f>
        <v/>
      </c>
      <c r="B1001">
        <f>IF(Criterios!B207="","",Criterios!D207/100)</f>
        <v/>
      </c>
      <c r="C1001">
        <f>IF(Criterios!B207="","",'Excelente')</f>
        <v/>
      </c>
      <c r="D1001">
        <f>IF(Criterios!B207="","",Criterios!I207)</f>
        <v/>
      </c>
      <c r="E1001">
        <f>IF(Criterios!B207="","",100)</f>
        <v/>
      </c>
      <c r="F1001">
        <f>IF(Criterios!B207="","",Criterios!A207)</f>
        <v/>
      </c>
      <c r="G1001">
        <f>IF(Criterios!B207="","",207)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2026-03-14T11:39:16Z</dcterms:created>
  <dcterms:modified xmlns:dcterms="http://purl.org/dc/terms/" xmlns:xsi="http://www.w3.org/2001/XMLSchema-instance" xsi:type="dcterms:W3CDTF">2026-03-14T11:43:10Z</dcterms:modified>
</cp:coreProperties>
</file>